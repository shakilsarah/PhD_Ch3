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Users\sarah\Dropbox\ThesisDrafts\Chapter3\Chlorophyll\"/>
    </mc:Choice>
  </mc:AlternateContent>
  <xr:revisionPtr revIDLastSave="0" documentId="13_ncr:1_{51E94FA3-4CA4-40B7-B27C-86D7FE30D88D}" xr6:coauthVersionLast="47" xr6:coauthVersionMax="47" xr10:uidLastSave="{00000000-0000-0000-0000-000000000000}"/>
  <bookViews>
    <workbookView xWindow="11460" yWindow="360" windowWidth="17310" windowHeight="15180" activeTab="1" xr2:uid="{00000000-000D-0000-FFFF-FFFF00000000}"/>
  </bookViews>
  <sheets>
    <sheet name="ChlaCalc" sheetId="7" r:id="rId1"/>
    <sheet name="forR" sheetId="9" r:id="rId2"/>
    <sheet name="ChlaSummary" sheetId="8" r:id="rId3"/>
  </sheets>
  <definedNames>
    <definedName name="_xlnm.Print_Area" localSheetId="0">ChlaCalc!$A$1:$L$33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A49" i="9" l="1"/>
  <c r="B49" i="9"/>
  <c r="C49" i="9"/>
  <c r="D49" i="9"/>
  <c r="A50" i="9"/>
  <c r="B50" i="9"/>
  <c r="C50" i="9"/>
  <c r="D50" i="9"/>
  <c r="A37" i="9"/>
  <c r="B37" i="9"/>
  <c r="C37" i="9"/>
  <c r="D37" i="9"/>
  <c r="A38" i="9"/>
  <c r="B38" i="9"/>
  <c r="C38" i="9"/>
  <c r="D38" i="9"/>
  <c r="A39" i="9"/>
  <c r="B39" i="9"/>
  <c r="C39" i="9"/>
  <c r="D39" i="9"/>
  <c r="A40" i="9"/>
  <c r="B40" i="9"/>
  <c r="C40" i="9"/>
  <c r="D40" i="9"/>
  <c r="A41" i="9"/>
  <c r="B41" i="9"/>
  <c r="C41" i="9"/>
  <c r="D41" i="9"/>
  <c r="A42" i="9"/>
  <c r="B42" i="9"/>
  <c r="C42" i="9"/>
  <c r="D42" i="9"/>
  <c r="A43" i="9"/>
  <c r="B43" i="9"/>
  <c r="C43" i="9"/>
  <c r="D43" i="9"/>
  <c r="A44" i="9"/>
  <c r="B44" i="9"/>
  <c r="C44" i="9"/>
  <c r="D44" i="9"/>
  <c r="A45" i="9"/>
  <c r="B45" i="9"/>
  <c r="C45" i="9"/>
  <c r="D45" i="9"/>
  <c r="A46" i="9"/>
  <c r="B46" i="9"/>
  <c r="C46" i="9"/>
  <c r="D46" i="9"/>
  <c r="A47" i="9"/>
  <c r="B47" i="9"/>
  <c r="C47" i="9"/>
  <c r="D47" i="9"/>
  <c r="A48" i="9"/>
  <c r="B48" i="9"/>
  <c r="C48" i="9"/>
  <c r="D48" i="9"/>
  <c r="A3" i="9"/>
  <c r="B3" i="9"/>
  <c r="C3" i="9"/>
  <c r="D3" i="9"/>
  <c r="A4" i="9"/>
  <c r="B4" i="9"/>
  <c r="C4" i="9"/>
  <c r="D4" i="9"/>
  <c r="A5" i="9"/>
  <c r="B5" i="9"/>
  <c r="C5" i="9"/>
  <c r="D5" i="9"/>
  <c r="A6" i="9"/>
  <c r="B6" i="9"/>
  <c r="C6" i="9"/>
  <c r="D6" i="9"/>
  <c r="A7" i="9"/>
  <c r="B7" i="9"/>
  <c r="C7" i="9"/>
  <c r="D7" i="9"/>
  <c r="A8" i="9"/>
  <c r="B8" i="9"/>
  <c r="C8" i="9"/>
  <c r="D8" i="9"/>
  <c r="A9" i="9"/>
  <c r="B9" i="9"/>
  <c r="C9" i="9"/>
  <c r="D9" i="9"/>
  <c r="A10" i="9"/>
  <c r="B10" i="9"/>
  <c r="C10" i="9"/>
  <c r="D10" i="9"/>
  <c r="A11" i="9"/>
  <c r="B11" i="9"/>
  <c r="C11" i="9"/>
  <c r="D11" i="9"/>
  <c r="A12" i="9"/>
  <c r="B12" i="9"/>
  <c r="C12" i="9"/>
  <c r="D12" i="9"/>
  <c r="A13" i="9"/>
  <c r="B13" i="9"/>
  <c r="C13" i="9"/>
  <c r="D13" i="9"/>
  <c r="A14" i="9"/>
  <c r="B14" i="9"/>
  <c r="C14" i="9"/>
  <c r="D14" i="9"/>
  <c r="A15" i="9"/>
  <c r="B15" i="9"/>
  <c r="C15" i="9"/>
  <c r="D15" i="9"/>
  <c r="A16" i="9"/>
  <c r="B16" i="9"/>
  <c r="C16" i="9"/>
  <c r="D16" i="9"/>
  <c r="A17" i="9"/>
  <c r="B17" i="9"/>
  <c r="C17" i="9"/>
  <c r="D17" i="9"/>
  <c r="A18" i="9"/>
  <c r="B18" i="9"/>
  <c r="C18" i="9"/>
  <c r="D18" i="9"/>
  <c r="A19" i="9"/>
  <c r="B19" i="9"/>
  <c r="C19" i="9"/>
  <c r="D19" i="9"/>
  <c r="A20" i="9"/>
  <c r="B20" i="9"/>
  <c r="C20" i="9"/>
  <c r="D20" i="9"/>
  <c r="A21" i="9"/>
  <c r="B21" i="9"/>
  <c r="C21" i="9"/>
  <c r="D21" i="9"/>
  <c r="A22" i="9"/>
  <c r="B22" i="9"/>
  <c r="C22" i="9"/>
  <c r="D22" i="9"/>
  <c r="A23" i="9"/>
  <c r="B23" i="9"/>
  <c r="C23" i="9"/>
  <c r="D23" i="9"/>
  <c r="A24" i="9"/>
  <c r="B24" i="9"/>
  <c r="C24" i="9"/>
  <c r="D24" i="9"/>
  <c r="A25" i="9"/>
  <c r="B25" i="9"/>
  <c r="C25" i="9"/>
  <c r="D25" i="9"/>
  <c r="A26" i="9"/>
  <c r="B26" i="9"/>
  <c r="C26" i="9"/>
  <c r="D26" i="9"/>
  <c r="A27" i="9"/>
  <c r="B27" i="9"/>
  <c r="C27" i="9"/>
  <c r="D27" i="9"/>
  <c r="A28" i="9"/>
  <c r="B28" i="9"/>
  <c r="C28" i="9"/>
  <c r="D28" i="9"/>
  <c r="A29" i="9"/>
  <c r="B29" i="9"/>
  <c r="C29" i="9"/>
  <c r="D29" i="9"/>
  <c r="A30" i="9"/>
  <c r="B30" i="9"/>
  <c r="C30" i="9"/>
  <c r="D30" i="9"/>
  <c r="A31" i="9"/>
  <c r="B31" i="9"/>
  <c r="C31" i="9"/>
  <c r="D31" i="9"/>
  <c r="A32" i="9"/>
  <c r="B32" i="9"/>
  <c r="C32" i="9"/>
  <c r="D32" i="9"/>
  <c r="A33" i="9"/>
  <c r="B33" i="9"/>
  <c r="C33" i="9"/>
  <c r="D33" i="9"/>
  <c r="A34" i="9"/>
  <c r="B34" i="9"/>
  <c r="C34" i="9"/>
  <c r="D34" i="9"/>
  <c r="A35" i="9"/>
  <c r="B35" i="9"/>
  <c r="C35" i="9"/>
  <c r="D35" i="9"/>
  <c r="A36" i="9"/>
  <c r="B36" i="9"/>
  <c r="C36" i="9"/>
  <c r="D36" i="9"/>
  <c r="B2" i="9"/>
  <c r="D2" i="9"/>
  <c r="C2" i="9"/>
  <c r="A2" i="9"/>
  <c r="M2" i="7"/>
  <c r="F11" i="7"/>
  <c r="H11" i="7"/>
  <c r="I11" i="7"/>
  <c r="C5" i="8"/>
  <c r="D5" i="8"/>
  <c r="F12" i="7"/>
  <c r="H12" i="7"/>
  <c r="I12" i="7"/>
  <c r="C6" i="8"/>
  <c r="D6" i="8"/>
  <c r="F13" i="7"/>
  <c r="H13" i="7"/>
  <c r="I13" i="7"/>
  <c r="C7" i="8"/>
  <c r="D7" i="8"/>
  <c r="F14" i="7"/>
  <c r="H14" i="7"/>
  <c r="I14" i="7"/>
  <c r="C8" i="8"/>
  <c r="D8" i="8"/>
  <c r="F15" i="7"/>
  <c r="H15" i="7"/>
  <c r="I15" i="7"/>
  <c r="C9" i="8"/>
  <c r="D9" i="8"/>
  <c r="F16" i="7"/>
  <c r="H16" i="7"/>
  <c r="I16" i="7"/>
  <c r="C10" i="8"/>
  <c r="D10" i="8"/>
  <c r="F17" i="7"/>
  <c r="H17" i="7"/>
  <c r="I17" i="7"/>
  <c r="C11" i="8"/>
  <c r="D11" i="8"/>
  <c r="F18" i="7"/>
  <c r="H18" i="7"/>
  <c r="I18" i="7"/>
  <c r="C12" i="8"/>
  <c r="D12" i="8"/>
  <c r="F19" i="7"/>
  <c r="H19" i="7"/>
  <c r="I19" i="7"/>
  <c r="C13" i="8"/>
  <c r="D13" i="8"/>
  <c r="F20" i="7"/>
  <c r="H20" i="7"/>
  <c r="I20" i="7"/>
  <c r="C14" i="8"/>
  <c r="D14" i="8"/>
  <c r="F21" i="7"/>
  <c r="H21" i="7"/>
  <c r="I21" i="7"/>
  <c r="C15" i="8"/>
  <c r="D15" i="8"/>
  <c r="F22" i="7"/>
  <c r="H22" i="7"/>
  <c r="I22" i="7"/>
  <c r="C16" i="8"/>
  <c r="D16" i="8"/>
  <c r="F23" i="7"/>
  <c r="H23" i="7"/>
  <c r="I23" i="7"/>
  <c r="C17" i="8"/>
  <c r="D17" i="8"/>
  <c r="F24" i="7"/>
  <c r="H24" i="7"/>
  <c r="I24" i="7"/>
  <c r="C18" i="8"/>
  <c r="D18" i="8"/>
  <c r="F25" i="7"/>
  <c r="H25" i="7"/>
  <c r="I25" i="7"/>
  <c r="C19" i="8"/>
  <c r="D19" i="8"/>
  <c r="F26" i="7"/>
  <c r="H26" i="7"/>
  <c r="I26" i="7"/>
  <c r="C20" i="8"/>
  <c r="D20" i="8"/>
  <c r="F27" i="7"/>
  <c r="H27" i="7"/>
  <c r="I27" i="7"/>
  <c r="C21" i="8"/>
  <c r="D21" i="8"/>
  <c r="F28" i="7"/>
  <c r="H28" i="7"/>
  <c r="I28" i="7"/>
  <c r="C22" i="8"/>
  <c r="D22" i="8"/>
  <c r="F29" i="7"/>
  <c r="H29" i="7"/>
  <c r="I29" i="7"/>
  <c r="C23" i="8"/>
  <c r="D23" i="8"/>
  <c r="F30" i="7"/>
  <c r="H30" i="7"/>
  <c r="I30" i="7"/>
  <c r="C24" i="8"/>
  <c r="D24" i="8"/>
  <c r="F31" i="7"/>
  <c r="H31" i="7"/>
  <c r="I31" i="7"/>
  <c r="C25" i="8"/>
  <c r="D25" i="8"/>
  <c r="F32" i="7"/>
  <c r="H32" i="7"/>
  <c r="I32" i="7"/>
  <c r="C26" i="8"/>
  <c r="D26" i="8"/>
  <c r="F33" i="7"/>
  <c r="H33" i="7"/>
  <c r="I33" i="7"/>
  <c r="C27" i="8"/>
  <c r="D27" i="8"/>
  <c r="F34" i="7"/>
  <c r="H34" i="7"/>
  <c r="I34" i="7"/>
  <c r="C28" i="8"/>
  <c r="D28" i="8"/>
  <c r="F35" i="7"/>
  <c r="H35" i="7"/>
  <c r="I35" i="7"/>
  <c r="C29" i="8"/>
  <c r="D29" i="8"/>
  <c r="F36" i="7"/>
  <c r="H36" i="7"/>
  <c r="I36" i="7"/>
  <c r="C30" i="8"/>
  <c r="D30" i="8"/>
  <c r="F37" i="7"/>
  <c r="H37" i="7"/>
  <c r="I37" i="7"/>
  <c r="C31" i="8"/>
  <c r="D31" i="8"/>
  <c r="F38" i="7"/>
  <c r="H38" i="7"/>
  <c r="I38" i="7"/>
  <c r="C32" i="8"/>
  <c r="D32" i="8"/>
  <c r="F39" i="7"/>
  <c r="H39" i="7"/>
  <c r="I39" i="7"/>
  <c r="C33" i="8"/>
  <c r="D33" i="8"/>
  <c r="F40" i="7"/>
  <c r="H40" i="7"/>
  <c r="I40" i="7"/>
  <c r="C34" i="8"/>
  <c r="D34" i="8"/>
  <c r="F41" i="7"/>
  <c r="H41" i="7"/>
  <c r="I41" i="7"/>
  <c r="C35" i="8"/>
  <c r="D35" i="8"/>
  <c r="F42" i="7"/>
  <c r="H42" i="7"/>
  <c r="I42" i="7"/>
  <c r="C36" i="8"/>
  <c r="D36" i="8"/>
  <c r="F43" i="7"/>
  <c r="H43" i="7"/>
  <c r="I43" i="7"/>
  <c r="C37" i="8"/>
  <c r="D37" i="8"/>
  <c r="F44" i="7"/>
  <c r="H44" i="7"/>
  <c r="I44" i="7"/>
  <c r="C38" i="8"/>
  <c r="D38" i="8"/>
  <c r="F45" i="7"/>
  <c r="H45" i="7"/>
  <c r="I45" i="7"/>
  <c r="C39" i="8"/>
  <c r="D39" i="8"/>
  <c r="F46" i="7"/>
  <c r="H46" i="7"/>
  <c r="I46" i="7"/>
  <c r="C40" i="8"/>
  <c r="D40" i="8"/>
  <c r="F47" i="7"/>
  <c r="H47" i="7"/>
  <c r="I47" i="7"/>
  <c r="C41" i="8"/>
  <c r="D41" i="8"/>
  <c r="F48" i="7"/>
  <c r="H48" i="7"/>
  <c r="I48" i="7"/>
  <c r="C42" i="8"/>
  <c r="D42" i="8"/>
  <c r="F49" i="7"/>
  <c r="H49" i="7"/>
  <c r="I49" i="7"/>
  <c r="C43" i="8"/>
  <c r="D43" i="8"/>
  <c r="F50" i="7"/>
  <c r="H50" i="7"/>
  <c r="I50" i="7"/>
  <c r="C44" i="8"/>
  <c r="D44" i="8"/>
  <c r="F51" i="7"/>
  <c r="H51" i="7"/>
  <c r="I51" i="7"/>
  <c r="C45" i="8"/>
  <c r="D45" i="8"/>
  <c r="F52" i="7"/>
  <c r="H52" i="7"/>
  <c r="I52" i="7"/>
  <c r="C46" i="8"/>
  <c r="D46" i="8"/>
  <c r="F53" i="7"/>
  <c r="H53" i="7"/>
  <c r="I53" i="7"/>
  <c r="C47" i="8"/>
  <c r="D47" i="8"/>
  <c r="F54" i="7"/>
  <c r="H54" i="7"/>
  <c r="I54" i="7"/>
  <c r="C48" i="8"/>
  <c r="D48" i="8"/>
  <c r="F55" i="7"/>
  <c r="H55" i="7"/>
  <c r="I55" i="7"/>
  <c r="C49" i="8"/>
  <c r="D49" i="8"/>
  <c r="F56" i="7"/>
  <c r="H56" i="7"/>
  <c r="I56" i="7"/>
  <c r="C50" i="8"/>
  <c r="D50" i="8"/>
  <c r="F57" i="7"/>
  <c r="H57" i="7"/>
  <c r="I57" i="7"/>
  <c r="C51" i="8"/>
  <c r="D51" i="8"/>
  <c r="F58" i="7"/>
  <c r="H58" i="7"/>
  <c r="I58" i="7"/>
  <c r="C52" i="8"/>
  <c r="D52" i="8"/>
  <c r="F10" i="7"/>
  <c r="H10" i="7"/>
  <c r="I10" i="7"/>
  <c r="C4" i="8"/>
  <c r="D4" i="8"/>
  <c r="H5" i="8"/>
  <c r="I5" i="8"/>
  <c r="K5" i="8"/>
  <c r="J5" i="8"/>
  <c r="L5" i="8"/>
  <c r="H6" i="8"/>
  <c r="I6" i="8"/>
  <c r="K6" i="8"/>
  <c r="J6" i="8"/>
  <c r="L6" i="8"/>
  <c r="H7" i="8"/>
  <c r="I7" i="8"/>
  <c r="K7" i="8"/>
  <c r="J7" i="8"/>
  <c r="L7" i="8"/>
  <c r="H8" i="8"/>
  <c r="I8" i="8"/>
  <c r="K8" i="8"/>
  <c r="J8" i="8"/>
  <c r="L8" i="8"/>
  <c r="H9" i="8"/>
  <c r="I9" i="8"/>
  <c r="K9" i="8"/>
  <c r="J9" i="8"/>
  <c r="L9" i="8"/>
  <c r="H10" i="8"/>
  <c r="I10" i="8"/>
  <c r="K10" i="8"/>
  <c r="J10" i="8"/>
  <c r="L10" i="8"/>
  <c r="H11" i="8"/>
  <c r="I11" i="8"/>
  <c r="K11" i="8"/>
  <c r="J11" i="8"/>
  <c r="L11" i="8"/>
  <c r="H4" i="8"/>
  <c r="I4" i="8"/>
  <c r="K4" i="8"/>
  <c r="J4" i="8"/>
  <c r="L4" i="8"/>
  <c r="B49" i="8"/>
  <c r="G11" i="8"/>
  <c r="B35" i="8"/>
  <c r="G10" i="8"/>
  <c r="B33" i="8"/>
  <c r="G9" i="8"/>
  <c r="B31" i="8"/>
  <c r="G8" i="8"/>
  <c r="B29" i="8"/>
  <c r="G7" i="8"/>
  <c r="B27" i="8"/>
  <c r="G6" i="8"/>
  <c r="B11" i="8"/>
  <c r="G5" i="8"/>
  <c r="B4" i="8"/>
  <c r="G4" i="8"/>
  <c r="B50" i="8"/>
  <c r="B51" i="8"/>
  <c r="B52" i="8"/>
  <c r="B43" i="8"/>
  <c r="B44" i="8"/>
  <c r="B45" i="8"/>
  <c r="B46" i="8"/>
  <c r="B47" i="8"/>
  <c r="B48" i="8"/>
  <c r="B32" i="8"/>
  <c r="B34" i="8"/>
  <c r="B36" i="8"/>
  <c r="B37" i="8"/>
  <c r="B38" i="8"/>
  <c r="B39" i="8"/>
  <c r="B40" i="8"/>
  <c r="B41" i="8"/>
  <c r="B42" i="8"/>
  <c r="B22" i="8"/>
  <c r="B23" i="8"/>
  <c r="B24" i="8"/>
  <c r="B25" i="8"/>
  <c r="B26" i="8"/>
  <c r="B28" i="8"/>
  <c r="B30" i="8"/>
  <c r="B5" i="8"/>
  <c r="B6" i="8"/>
  <c r="B7" i="8"/>
  <c r="B8" i="8"/>
  <c r="B9" i="8"/>
  <c r="B10" i="8"/>
  <c r="B12" i="8"/>
  <c r="B13" i="8"/>
  <c r="B14" i="8"/>
  <c r="B15" i="8"/>
  <c r="B16" i="8"/>
  <c r="B17" i="8"/>
  <c r="B18" i="8"/>
  <c r="B19" i="8"/>
  <c r="B20" i="8"/>
  <c r="B21" i="8"/>
  <c r="F87" i="7"/>
  <c r="H87" i="7"/>
  <c r="I87" i="7"/>
  <c r="F105" i="7"/>
  <c r="H105" i="7"/>
  <c r="I105" i="7"/>
  <c r="F97" i="7"/>
  <c r="H97" i="7"/>
  <c r="I97" i="7"/>
  <c r="F89" i="7"/>
  <c r="H89" i="7"/>
  <c r="I89" i="7"/>
  <c r="F111" i="7"/>
  <c r="H111" i="7"/>
  <c r="I111" i="7"/>
  <c r="F117" i="7"/>
  <c r="H117" i="7"/>
  <c r="I117" i="7"/>
  <c r="F86" i="7"/>
  <c r="H86" i="7"/>
  <c r="I86" i="7"/>
  <c r="F110" i="7"/>
  <c r="H110" i="7"/>
  <c r="I110" i="7"/>
  <c r="F121" i="7"/>
  <c r="H121" i="7"/>
  <c r="I121" i="7"/>
  <c r="F108" i="7"/>
  <c r="H108" i="7"/>
  <c r="I108" i="7"/>
  <c r="F83" i="7"/>
  <c r="H83" i="7"/>
  <c r="I83" i="7"/>
  <c r="F109" i="7"/>
  <c r="H109" i="7"/>
  <c r="I109" i="7"/>
  <c r="F95" i="7"/>
  <c r="H95" i="7"/>
  <c r="I95" i="7"/>
  <c r="F67" i="7"/>
  <c r="H67" i="7"/>
  <c r="I67" i="7"/>
  <c r="F71" i="7"/>
  <c r="H71" i="7"/>
  <c r="I71" i="7"/>
  <c r="F68" i="7"/>
  <c r="H68" i="7"/>
  <c r="I68" i="7"/>
  <c r="F72" i="7"/>
  <c r="H72" i="7"/>
  <c r="I72" i="7"/>
  <c r="F129" i="7"/>
  <c r="H129" i="7"/>
  <c r="I129" i="7"/>
  <c r="F114" i="7"/>
  <c r="H114" i="7"/>
  <c r="I114" i="7"/>
  <c r="F88" i="7"/>
  <c r="H88" i="7"/>
  <c r="I88" i="7"/>
  <c r="F122" i="7"/>
  <c r="H122" i="7"/>
  <c r="I122" i="7"/>
  <c r="F91" i="7"/>
  <c r="H91" i="7"/>
  <c r="I91" i="7"/>
  <c r="F123" i="7"/>
  <c r="H123" i="7"/>
  <c r="I123" i="7"/>
  <c r="F78" i="7"/>
  <c r="H78" i="7"/>
  <c r="I78" i="7"/>
  <c r="J78" i="7"/>
  <c r="F75" i="7"/>
  <c r="H75" i="7"/>
  <c r="I75" i="7"/>
  <c r="F118" i="7"/>
  <c r="H118" i="7"/>
  <c r="I118" i="7"/>
  <c r="F62" i="7"/>
  <c r="H62" i="7"/>
  <c r="I62" i="7"/>
  <c r="K62" i="7"/>
  <c r="F64" i="7"/>
  <c r="H64" i="7"/>
  <c r="I64" i="7"/>
  <c r="F104" i="7"/>
  <c r="H104" i="7"/>
  <c r="I104" i="7"/>
  <c r="F93" i="7"/>
  <c r="H93" i="7"/>
  <c r="I93" i="7"/>
  <c r="F94" i="7"/>
  <c r="H94" i="7"/>
  <c r="I94" i="7"/>
  <c r="F76" i="7"/>
  <c r="H76" i="7"/>
  <c r="I76" i="7"/>
  <c r="J76" i="7"/>
  <c r="F77" i="7"/>
  <c r="H77" i="7"/>
  <c r="I77" i="7"/>
  <c r="F101" i="7"/>
  <c r="H101" i="7"/>
  <c r="I101" i="7"/>
  <c r="F63" i="7"/>
  <c r="H63" i="7"/>
  <c r="I63" i="7"/>
  <c r="F65" i="7"/>
  <c r="H65" i="7"/>
  <c r="I65" i="7"/>
  <c r="F73" i="7"/>
  <c r="H73" i="7"/>
  <c r="I73" i="7"/>
  <c r="F61" i="7"/>
  <c r="H61" i="7"/>
  <c r="I61" i="7"/>
  <c r="F69" i="7"/>
  <c r="H69" i="7"/>
  <c r="I69" i="7"/>
  <c r="F79" i="7"/>
  <c r="H79" i="7"/>
  <c r="I79" i="7"/>
  <c r="F74" i="7"/>
  <c r="H74" i="7"/>
  <c r="I74" i="7"/>
  <c r="F80" i="7"/>
  <c r="H80" i="7"/>
  <c r="I80" i="7"/>
  <c r="F125" i="7"/>
  <c r="H125" i="7"/>
  <c r="I125" i="7"/>
  <c r="F96" i="7"/>
  <c r="H96" i="7"/>
  <c r="I96" i="7"/>
  <c r="F112" i="7"/>
  <c r="H112" i="7"/>
  <c r="I112" i="7"/>
  <c r="J112" i="7"/>
  <c r="F115" i="7"/>
  <c r="H115" i="7"/>
  <c r="I115" i="7"/>
  <c r="F127" i="7"/>
  <c r="H127" i="7"/>
  <c r="I127" i="7"/>
  <c r="F102" i="7"/>
  <c r="H102" i="7"/>
  <c r="I102" i="7"/>
  <c r="F124" i="7"/>
  <c r="H124" i="7"/>
  <c r="I124" i="7"/>
  <c r="F85" i="7"/>
  <c r="H85" i="7"/>
  <c r="I85" i="7"/>
  <c r="F60" i="7"/>
  <c r="H60" i="7"/>
  <c r="I60" i="7"/>
  <c r="F100" i="7"/>
  <c r="H100" i="7"/>
  <c r="I100" i="7"/>
  <c r="J100" i="7"/>
  <c r="F81" i="7"/>
  <c r="H81" i="7"/>
  <c r="I81" i="7"/>
  <c r="F126" i="7"/>
  <c r="H126" i="7"/>
  <c r="I126" i="7"/>
  <c r="J126" i="7"/>
  <c r="F70" i="7"/>
  <c r="H70" i="7"/>
  <c r="I70" i="7"/>
  <c r="F103" i="7"/>
  <c r="H103" i="7"/>
  <c r="I103" i="7"/>
  <c r="F66" i="7"/>
  <c r="H66" i="7"/>
  <c r="I66" i="7"/>
  <c r="F120" i="7"/>
  <c r="H120" i="7"/>
  <c r="I120" i="7"/>
  <c r="F128" i="7"/>
  <c r="H128" i="7"/>
  <c r="I128" i="7"/>
  <c r="F82" i="7"/>
  <c r="H82" i="7"/>
  <c r="I82" i="7"/>
  <c r="F90" i="7"/>
  <c r="H90" i="7"/>
  <c r="I90" i="7"/>
  <c r="F98" i="7"/>
  <c r="H98" i="7"/>
  <c r="I98" i="7"/>
  <c r="F106" i="7"/>
  <c r="H106" i="7"/>
  <c r="I106" i="7"/>
  <c r="J106" i="7"/>
  <c r="F119" i="7"/>
  <c r="H119" i="7"/>
  <c r="I119" i="7"/>
  <c r="F113" i="7"/>
  <c r="H113" i="7"/>
  <c r="I113" i="7"/>
  <c r="F116" i="7"/>
  <c r="H116" i="7"/>
  <c r="I116" i="7"/>
  <c r="K116" i="7"/>
  <c r="J116" i="7"/>
  <c r="L116" i="7"/>
  <c r="F92" i="7"/>
  <c r="H92" i="7"/>
  <c r="I92" i="7"/>
  <c r="F84" i="7"/>
  <c r="H84" i="7"/>
  <c r="I84" i="7"/>
  <c r="F107" i="7"/>
  <c r="H107" i="7"/>
  <c r="I107" i="7"/>
  <c r="F99" i="7"/>
  <c r="H99" i="7"/>
  <c r="I99" i="7"/>
  <c r="J104" i="7"/>
  <c r="K104" i="7"/>
  <c r="J92" i="7"/>
  <c r="K92" i="7"/>
  <c r="K74" i="7"/>
  <c r="J74" i="7"/>
  <c r="K76" i="7"/>
  <c r="L76" i="7"/>
  <c r="K78" i="7"/>
  <c r="J90" i="7"/>
  <c r="K90" i="7"/>
  <c r="J80" i="7"/>
  <c r="K80" i="7"/>
  <c r="J60" i="7"/>
  <c r="K60" i="7"/>
  <c r="L60" i="7"/>
  <c r="J118" i="7"/>
  <c r="K118" i="7"/>
  <c r="K114" i="7"/>
  <c r="J114" i="7"/>
  <c r="L114" i="7"/>
  <c r="K112" i="7"/>
  <c r="L112" i="7"/>
  <c r="L78" i="7"/>
  <c r="K106" i="7"/>
  <c r="L106" i="7"/>
  <c r="J62" i="7"/>
  <c r="L62" i="7"/>
  <c r="K96" i="7"/>
  <c r="J96" i="7"/>
  <c r="J84" i="7"/>
  <c r="K84" i="7"/>
  <c r="L84" i="7"/>
  <c r="J82" i="7"/>
  <c r="K82" i="7"/>
  <c r="L82" i="7"/>
  <c r="J70" i="7"/>
  <c r="K70" i="7"/>
  <c r="L70" i="7"/>
  <c r="K124" i="7"/>
  <c r="J124" i="7"/>
  <c r="J98" i="7"/>
  <c r="K98" i="7"/>
  <c r="J72" i="7"/>
  <c r="K72" i="7"/>
  <c r="K126" i="7"/>
  <c r="J88" i="7"/>
  <c r="K88" i="7"/>
  <c r="L88" i="7"/>
  <c r="L104" i="7"/>
  <c r="L96" i="7"/>
  <c r="L74" i="7"/>
  <c r="L92" i="7"/>
  <c r="L80" i="7"/>
  <c r="L90" i="7"/>
  <c r="L72" i="7"/>
  <c r="L118" i="7"/>
  <c r="L124" i="7"/>
  <c r="K120" i="7"/>
  <c r="J120" i="7"/>
  <c r="L120" i="7"/>
  <c r="J86" i="7"/>
  <c r="K86" i="7"/>
  <c r="J128" i="7"/>
  <c r="K128" i="7"/>
  <c r="L128" i="7"/>
  <c r="J94" i="7"/>
  <c r="K94" i="7"/>
  <c r="L94" i="7"/>
  <c r="K108" i="7"/>
  <c r="J108" i="7"/>
  <c r="K110" i="7"/>
  <c r="J110" i="7"/>
  <c r="L110" i="7"/>
  <c r="K66" i="7"/>
  <c r="J66" i="7"/>
  <c r="K102" i="7"/>
  <c r="J102" i="7"/>
  <c r="J64" i="7"/>
  <c r="K64" i="7"/>
  <c r="L98" i="7"/>
  <c r="K100" i="7"/>
  <c r="L100" i="7"/>
  <c r="L126" i="7"/>
  <c r="J122" i="7"/>
  <c r="K122" i="7"/>
  <c r="J68" i="7"/>
  <c r="K68" i="7"/>
  <c r="L66" i="7"/>
  <c r="L64" i="7"/>
  <c r="L102" i="7"/>
  <c r="L108" i="7"/>
  <c r="L86" i="7"/>
  <c r="L68" i="7"/>
  <c r="L12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Hanna Pena</author>
  </authors>
  <commentList>
    <comment ref="L2" authorId="0" shapeId="0" xr:uid="{00000000-0006-0000-0000-000001000000}">
      <text>
        <r>
          <rPr>
            <b/>
            <sz val="9"/>
            <color indexed="81"/>
            <rFont val="Tahoma"/>
          </rPr>
          <t>Hanna Pena:</t>
        </r>
        <r>
          <rPr>
            <sz val="9"/>
            <color indexed="81"/>
            <rFont val="Tahoma"/>
          </rPr>
          <t xml:space="preserve">
The LSS value has to be between 16.5-19.727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 Shakil</author>
  </authors>
  <commentList>
    <comment ref="A3" authorId="0" shapeId="0" xr:uid="{00000000-0006-0000-0100-000001000000}">
      <text>
        <r>
          <rPr>
            <b/>
            <sz val="10"/>
            <color indexed="81"/>
            <rFont val="Calibri"/>
          </rPr>
          <t xml:space="preserve">For Sarah's cross coordination
</t>
        </r>
      </text>
    </comment>
  </commentList>
</comments>
</file>

<file path=xl/sharedStrings.xml><?xml version="1.0" encoding="utf-8"?>
<sst xmlns="http://schemas.openxmlformats.org/spreadsheetml/2006/main" count="175" uniqueCount="120">
  <si>
    <t xml:space="preserve">Chlorophyll a by Fluorimetry:  </t>
  </si>
  <si>
    <t>Range: FI</t>
  </si>
  <si>
    <t>Slope</t>
  </si>
  <si>
    <t>Intercept</t>
  </si>
  <si>
    <t>Sample ID.</t>
  </si>
  <si>
    <t>Filtered</t>
  </si>
  <si>
    <t>Volume</t>
  </si>
  <si>
    <t>FI</t>
  </si>
  <si>
    <t>Dil'n</t>
  </si>
  <si>
    <t>Chl a</t>
  </si>
  <si>
    <t>Final Conc'n</t>
  </si>
  <si>
    <t>Mean</t>
  </si>
  <si>
    <t>S.D.</t>
  </si>
  <si>
    <t>EtOH</t>
  </si>
  <si>
    <t>Filter</t>
  </si>
  <si>
    <t>Conc'n</t>
  </si>
  <si>
    <t>(L)</t>
  </si>
  <si>
    <t>(mL)</t>
  </si>
  <si>
    <t>(µg)</t>
  </si>
  <si>
    <t>(µg/L)</t>
  </si>
  <si>
    <t>(%)</t>
  </si>
  <si>
    <t>R.S.D</t>
  </si>
  <si>
    <t>FI/LSS</t>
  </si>
  <si>
    <t>LSS 1</t>
  </si>
  <si>
    <t>LSS 2</t>
  </si>
  <si>
    <t>LSS 3</t>
  </si>
  <si>
    <t>LSS 4</t>
  </si>
  <si>
    <t>LSS 5</t>
  </si>
  <si>
    <t>LSS 6</t>
  </si>
  <si>
    <t>LSS 7</t>
  </si>
  <si>
    <t>LSS 8</t>
  </si>
  <si>
    <t>LSS 9</t>
  </si>
  <si>
    <t>LSS 10</t>
  </si>
  <si>
    <t>LSS MEAN</t>
  </si>
  <si>
    <t>Date analyzed:</t>
  </si>
  <si>
    <t>Date extracted:</t>
  </si>
  <si>
    <t>Analyst:</t>
  </si>
  <si>
    <t xml:space="preserve">Client: </t>
  </si>
  <si>
    <t>2017 Standards Mar 1 2017</t>
  </si>
  <si>
    <t>&lt;1 to 640.93</t>
  </si>
  <si>
    <t>StonyCreek-071017</t>
  </si>
  <si>
    <t>StonyCreek-071017-DUP</t>
  </si>
  <si>
    <t>27-SS02LU-071217</t>
  </si>
  <si>
    <t>48-SS08LI-071217</t>
  </si>
  <si>
    <t>13-SS02MU-071317</t>
  </si>
  <si>
    <t>26-SS01LU-071417</t>
  </si>
  <si>
    <t>30-SS01FU-071417</t>
  </si>
  <si>
    <t>42-SS01BI-071517</t>
  </si>
  <si>
    <t>42-SS01BI-071517 - DUP</t>
  </si>
  <si>
    <t>53-SS01LU-alt2-071517</t>
  </si>
  <si>
    <t>0-SS02BI-071717</t>
  </si>
  <si>
    <t>6-SS02MI-071717</t>
  </si>
  <si>
    <t>9-SS05MI-071717</t>
  </si>
  <si>
    <t>23-SS05LI-072017</t>
  </si>
  <si>
    <t>37-SS04OI-072017</t>
  </si>
  <si>
    <t>24-SS06LU-072017</t>
  </si>
  <si>
    <t>29-SS04LU-072017</t>
  </si>
  <si>
    <t>35-SS02OI-072017</t>
  </si>
  <si>
    <t>36-SS03OI-072017</t>
  </si>
  <si>
    <t>38-SS01OI-072017</t>
  </si>
  <si>
    <t>BLANK1-072017-TRAVEL</t>
  </si>
  <si>
    <t>3-SS04BU-072217</t>
  </si>
  <si>
    <t>8-SS04MI-072217</t>
  </si>
  <si>
    <t>5-SS01MI-072217</t>
  </si>
  <si>
    <t>5-SS01MI-072217-DUP</t>
  </si>
  <si>
    <t>10-SS06MI-072217</t>
  </si>
  <si>
    <t>10-SS06MI-072217-DUP</t>
  </si>
  <si>
    <t>14-SS03MU-072217*</t>
  </si>
  <si>
    <t>14-SS03MU-072217-DUP*</t>
  </si>
  <si>
    <t>19-SS01LI-072217</t>
  </si>
  <si>
    <t>19-SS01LI-072217-DUP</t>
  </si>
  <si>
    <t>20-SS02LI-072217</t>
  </si>
  <si>
    <t>20-SS02LI-072217-DUP</t>
  </si>
  <si>
    <t>SC-3B-072717</t>
  </si>
  <si>
    <t>DC-3-072715</t>
  </si>
  <si>
    <t>DC-4-072717</t>
  </si>
  <si>
    <t>31-SS02FU-072917</t>
  </si>
  <si>
    <t>32-SS03FU-072917</t>
  </si>
  <si>
    <t>7-SS03MI-073017</t>
  </si>
  <si>
    <t>57-SS06MI-alt1-073017</t>
  </si>
  <si>
    <t>1-SS02BU-080317</t>
  </si>
  <si>
    <t>45-SS03BU-alt2-080317</t>
  </si>
  <si>
    <t>62-SS06MU-080517</t>
  </si>
  <si>
    <t>71-SS05LU-080517</t>
  </si>
  <si>
    <t>Blank1-080717</t>
  </si>
  <si>
    <t>StonyCreek-080717</t>
  </si>
  <si>
    <t>StonyCreek-080717-DUP</t>
  </si>
  <si>
    <t>12-SS01MU-080917</t>
  </si>
  <si>
    <t>40-SS02BU-alt1-080917</t>
  </si>
  <si>
    <t>Sample ID</t>
  </si>
  <si>
    <t>Chla Conc. (ug/L)</t>
  </si>
  <si>
    <t xml:space="preserve"># </t>
  </si>
  <si>
    <t>Duplicates</t>
  </si>
  <si>
    <t>Mean (ug/L)</t>
  </si>
  <si>
    <t>Conc. 1 (ug/L)</t>
  </si>
  <si>
    <t>Conc. 2 (ug/L)</t>
  </si>
  <si>
    <t>Scott's overlap samples</t>
  </si>
  <si>
    <t>*assuming negative values are 0</t>
  </si>
  <si>
    <t>*negatives removed below</t>
  </si>
  <si>
    <t>DUP #</t>
  </si>
  <si>
    <t>Coeff V. (%)</t>
  </si>
  <si>
    <t>Stdev (ug/L)</t>
  </si>
  <si>
    <t>samplecode</t>
  </si>
  <si>
    <t>filteredvol_L</t>
  </si>
  <si>
    <t>finalconc_ugL</t>
  </si>
  <si>
    <t>chlafilter_ug</t>
  </si>
  <si>
    <t>site</t>
  </si>
  <si>
    <t>date</t>
  </si>
  <si>
    <t>SC Outlet</t>
  </si>
  <si>
    <t>samptype</t>
  </si>
  <si>
    <t>Sample</t>
  </si>
  <si>
    <t>Duplicate</t>
  </si>
  <si>
    <t>Field Blank</t>
  </si>
  <si>
    <t>BL</t>
  </si>
  <si>
    <t>SC-3B</t>
  </si>
  <si>
    <t>DC-3</t>
  </si>
  <si>
    <t>DC-4</t>
  </si>
  <si>
    <t>9-alt</t>
  </si>
  <si>
    <t>40-alt1</t>
  </si>
  <si>
    <t>12-1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</si>
</sst>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\(&quot;$&quot;#,##0\)"/>
    <numFmt numFmtId="165" formatCode="0.000"/>
    <numFmt numFmtId="166" formatCode="0.0"/>
    <numFmt numFmtId="167" formatCode="0.0000"/>
  </numFmts>
  <fonts count="16" x14ac:knownFonts="1">
    <font>
      <sz val="10"/>
      <name val="Arial"/>
    </font>
    <font>
      <b/>
      <sz val="18"/>
      <name val="Arial"/>
    </font>
    <font>
      <b/>
      <sz val="12"/>
      <name val="Arial"/>
    </font>
    <font>
      <b/>
      <sz val="10"/>
      <name val="Arial"/>
    </font>
    <font>
      <b/>
      <i/>
      <sz val="10"/>
      <name val="Arial"/>
    </font>
    <font>
      <sz val="12"/>
      <name val="Arial"/>
    </font>
    <font>
      <sz val="12"/>
      <name val="Times New Roman"/>
    </font>
    <font>
      <b/>
      <u/>
      <sz val="12"/>
      <name val="Arial"/>
    </font>
    <font>
      <b/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  <font>
      <sz val="9"/>
      <color indexed="81"/>
      <name val="Tahoma"/>
    </font>
    <font>
      <b/>
      <sz val="9"/>
      <color indexed="81"/>
      <name val="Tahoma"/>
    </font>
    <font>
      <b/>
      <sz val="10"/>
      <color indexed="81"/>
      <name val="Calibri"/>
    </font>
    <font>
      <i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/>
      <right/>
      <top/>
      <bottom style="double">
        <color indexed="0"/>
      </bottom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 style="thin">
        <color indexed="0"/>
      </top>
      <bottom style="double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/>
      <top/>
      <bottom style="double">
        <color auto="1"/>
      </bottom>
      <diagonal/>
    </border>
  </borders>
  <cellStyleXfs count="9">
    <xf numFmtId="0" fontId="0" fillId="0" borderId="0">
      <alignment vertical="top"/>
    </xf>
    <xf numFmtId="3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" fontId="11" fillId="0" borderId="0" applyFont="0" applyFill="0" applyBorder="0" applyAlignment="0" applyProtection="0"/>
    <xf numFmtId="0" fontId="1" fillId="0" borderId="0" applyNumberFormat="0" applyFont="0" applyFill="0" applyAlignment="0" applyProtection="0"/>
    <xf numFmtId="0" fontId="2" fillId="0" borderId="0" applyNumberFormat="0" applyFont="0" applyFill="0" applyAlignment="0" applyProtection="0"/>
    <xf numFmtId="10" fontId="11" fillId="0" borderId="0" applyFont="0" applyFill="0" applyBorder="0" applyAlignment="0" applyProtection="0"/>
    <xf numFmtId="0" fontId="11" fillId="0" borderId="1" applyNumberFormat="0" applyFont="0" applyBorder="0" applyAlignment="0" applyProtection="0"/>
  </cellStyleXfs>
  <cellXfs count="51">
    <xf numFmtId="0" fontId="0" fillId="0" borderId="0" xfId="0" applyAlignment="1"/>
    <xf numFmtId="0" fontId="4" fillId="2" borderId="0" xfId="0" applyFont="1" applyFill="1" applyBorder="1" applyAlignment="1"/>
    <xf numFmtId="0" fontId="2" fillId="0" borderId="0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65" fontId="0" fillId="0" borderId="0" xfId="0" applyNumberFormat="1" applyAlignment="1"/>
    <xf numFmtId="166" fontId="0" fillId="0" borderId="0" xfId="0" applyNumberFormat="1" applyAlignment="1"/>
    <xf numFmtId="0" fontId="2" fillId="0" borderId="0" xfId="0" applyFont="1" applyBorder="1" applyAlignment="1"/>
    <xf numFmtId="2" fontId="4" fillId="2" borderId="0" xfId="0" applyNumberFormat="1" applyFont="1" applyFill="1" applyBorder="1" applyAlignment="1"/>
    <xf numFmtId="9" fontId="4" fillId="2" borderId="0" xfId="0" applyNumberFormat="1" applyFont="1" applyFill="1" applyBorder="1" applyAlignment="1"/>
    <xf numFmtId="0" fontId="0" fillId="2" borderId="3" xfId="0" applyFill="1" applyBorder="1" applyAlignment="1"/>
    <xf numFmtId="0" fontId="0" fillId="2" borderId="4" xfId="0" applyFill="1" applyBorder="1" applyAlignment="1"/>
    <xf numFmtId="0" fontId="6" fillId="2" borderId="5" xfId="0" applyFont="1" applyFill="1" applyBorder="1" applyAlignment="1"/>
    <xf numFmtId="0" fontId="3" fillId="2" borderId="6" xfId="0" applyFont="1" applyFill="1" applyBorder="1" applyAlignment="1">
      <alignment horizontal="center"/>
    </xf>
    <xf numFmtId="167" fontId="0" fillId="2" borderId="0" xfId="0" applyNumberFormat="1" applyFill="1" applyAlignment="1"/>
    <xf numFmtId="167" fontId="0" fillId="2" borderId="7" xfId="0" applyNumberFormat="1" applyFill="1" applyBorder="1" applyAlignment="1"/>
    <xf numFmtId="167" fontId="0" fillId="2" borderId="8" xfId="0" applyNumberFormat="1" applyFont="1" applyFill="1" applyBorder="1" applyAlignment="1">
      <alignment horizontal="left"/>
    </xf>
    <xf numFmtId="0" fontId="0" fillId="3" borderId="0" xfId="0" applyFill="1" applyAlignment="1">
      <alignment horizontal="center"/>
    </xf>
    <xf numFmtId="0" fontId="4" fillId="0" borderId="0" xfId="0" applyFont="1" applyBorder="1" applyAlignment="1"/>
    <xf numFmtId="0" fontId="9" fillId="0" borderId="0" xfId="0" applyFont="1" applyAlignment="1"/>
    <xf numFmtId="0" fontId="3" fillId="2" borderId="0" xfId="0" applyFont="1" applyFill="1" applyBorder="1" applyAlignment="1">
      <alignment horizontal="center"/>
    </xf>
    <xf numFmtId="167" fontId="0" fillId="2" borderId="0" xfId="0" applyNumberFormat="1" applyFill="1" applyBorder="1" applyAlignment="1"/>
    <xf numFmtId="0" fontId="2" fillId="0" borderId="9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Border="1" applyAlignment="1"/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9" fillId="0" borderId="0" xfId="0" applyFont="1" applyFill="1" applyBorder="1" applyAlignment="1"/>
    <xf numFmtId="0" fontId="10" fillId="0" borderId="0" xfId="0" applyFont="1" applyFill="1" applyBorder="1" applyAlignment="1">
      <alignment vertical="top"/>
    </xf>
    <xf numFmtId="14" fontId="0" fillId="0" borderId="0" xfId="0" applyNumberFormat="1" applyAlignment="1"/>
    <xf numFmtId="167" fontId="9" fillId="2" borderId="0" xfId="0" applyNumberFormat="1" applyFont="1" applyFill="1" applyBorder="1" applyAlignment="1"/>
    <xf numFmtId="0" fontId="6" fillId="2" borderId="0" xfId="0" applyFont="1" applyFill="1" applyBorder="1" applyAlignment="1"/>
    <xf numFmtId="0" fontId="10" fillId="2" borderId="0" xfId="0" applyFont="1" applyFill="1" applyBorder="1" applyAlignment="1">
      <alignment horizontal="center"/>
    </xf>
    <xf numFmtId="165" fontId="0" fillId="0" borderId="0" xfId="0" applyNumberFormat="1" applyFill="1" applyBorder="1" applyAlignment="1"/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2" fillId="4" borderId="0" xfId="0" applyFont="1" applyFill="1" applyAlignment="1"/>
    <xf numFmtId="0" fontId="5" fillId="0" borderId="0" xfId="0" applyFont="1" applyAlignment="1"/>
    <xf numFmtId="2" fontId="5" fillId="0" borderId="0" xfId="0" applyNumberFormat="1" applyFont="1" applyAlignment="1"/>
    <xf numFmtId="0" fontId="5" fillId="5" borderId="0" xfId="0" applyFont="1" applyFill="1" applyAlignment="1"/>
    <xf numFmtId="2" fontId="5" fillId="5" borderId="0" xfId="0" applyNumberFormat="1" applyFont="1" applyFill="1" applyAlignment="1"/>
    <xf numFmtId="10" fontId="5" fillId="5" borderId="0" xfId="7" applyFont="1" applyFill="1" applyAlignment="1"/>
    <xf numFmtId="0" fontId="5" fillId="6" borderId="0" xfId="0" applyFont="1" applyFill="1" applyAlignment="1"/>
    <xf numFmtId="2" fontId="5" fillId="6" borderId="0" xfId="0" applyNumberFormat="1" applyFont="1" applyFill="1" applyAlignment="1"/>
    <xf numFmtId="0" fontId="15" fillId="0" borderId="0" xfId="0" applyFont="1" applyAlignment="1"/>
    <xf numFmtId="49" fontId="0" fillId="0" borderId="0" xfId="0" applyNumberFormat="1" applyAlignment="1"/>
    <xf numFmtId="0" fontId="2" fillId="0" borderId="0" xfId="0" applyFont="1" applyAlignment="1">
      <alignment horizontal="center"/>
    </xf>
  </cellXfs>
  <cellStyles count="9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ing 1" xfId="5" builtinId="16" customBuiltin="1"/>
    <cellStyle name="Heading 2" xfId="6" builtinId="17" customBuiltin="1"/>
    <cellStyle name="Normal" xfId="0" builtinId="0"/>
    <cellStyle name="Percent" xfId="7" builtinId="5"/>
    <cellStyle name="Total" xfId="8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79"/>
  <sheetViews>
    <sheetView zoomScale="70" zoomScaleNormal="70" workbookViewId="0">
      <selection activeCell="Q54" sqref="Q54"/>
    </sheetView>
  </sheetViews>
  <sheetFormatPr defaultColWidth="8.85546875" defaultRowHeight="12.75" x14ac:dyDescent="0.2"/>
  <cols>
    <col min="1" max="1" width="30.140625" style="27" bestFit="1" customWidth="1"/>
    <col min="2" max="2" width="0.85546875" customWidth="1"/>
    <col min="3" max="3" width="10.85546875" bestFit="1" customWidth="1"/>
    <col min="4" max="5" width="9.28515625" bestFit="1" customWidth="1"/>
    <col min="6" max="6" width="11.42578125" bestFit="1" customWidth="1"/>
    <col min="8" max="8" width="9.28515625" bestFit="1" customWidth="1"/>
    <col min="9" max="9" width="14.42578125" customWidth="1"/>
    <col min="10" max="12" width="12.7109375" bestFit="1" customWidth="1"/>
  </cols>
  <sheetData>
    <row r="1" spans="1:13" ht="16.5" thickBot="1" x14ac:dyDescent="0.3">
      <c r="A1" s="22" t="s">
        <v>0</v>
      </c>
      <c r="E1" s="9" t="s">
        <v>1</v>
      </c>
      <c r="F1" s="12" t="s">
        <v>39</v>
      </c>
      <c r="G1" s="19" t="s">
        <v>23</v>
      </c>
      <c r="H1" s="19" t="s">
        <v>24</v>
      </c>
      <c r="I1" s="19" t="s">
        <v>25</v>
      </c>
      <c r="J1" s="19" t="s">
        <v>26</v>
      </c>
      <c r="K1" s="19" t="s">
        <v>27</v>
      </c>
    </row>
    <row r="2" spans="1:13" ht="16.5" thickTop="1" x14ac:dyDescent="0.25">
      <c r="A2" s="22" t="s">
        <v>38</v>
      </c>
      <c r="E2" s="10" t="s">
        <v>2</v>
      </c>
      <c r="F2" s="13">
        <v>2.5000000000000001E-2</v>
      </c>
      <c r="G2" s="20">
        <v>22.957999999999998</v>
      </c>
      <c r="H2" s="20">
        <v>23.242000000000001</v>
      </c>
      <c r="I2" s="20">
        <v>23.437000000000001</v>
      </c>
      <c r="J2" s="20">
        <v>23.465</v>
      </c>
      <c r="K2" s="20"/>
      <c r="L2" s="34" t="s">
        <v>33</v>
      </c>
      <c r="M2" s="20">
        <f>AVERAGE(G2,H2,I2,J2,K2,K4,J4,I4,H4,G4)</f>
        <v>23.275500000000001</v>
      </c>
    </row>
    <row r="3" spans="1:13" x14ac:dyDescent="0.2">
      <c r="A3" s="23" t="s">
        <v>35</v>
      </c>
      <c r="B3" s="18"/>
      <c r="C3" s="33"/>
      <c r="E3" s="10"/>
      <c r="F3" s="19"/>
      <c r="G3" s="19" t="s">
        <v>28</v>
      </c>
      <c r="H3" s="19" t="s">
        <v>29</v>
      </c>
      <c r="I3" s="19" t="s">
        <v>30</v>
      </c>
      <c r="J3" s="19" t="s">
        <v>31</v>
      </c>
      <c r="K3" s="19" t="s">
        <v>32</v>
      </c>
    </row>
    <row r="4" spans="1:13" x14ac:dyDescent="0.2">
      <c r="A4" s="23" t="s">
        <v>34</v>
      </c>
      <c r="B4" s="18"/>
      <c r="C4" s="33"/>
      <c r="E4" s="10"/>
      <c r="F4" s="19"/>
      <c r="G4" s="36"/>
      <c r="H4" s="36"/>
      <c r="I4" s="36"/>
      <c r="J4" s="36"/>
      <c r="K4" s="19"/>
    </row>
    <row r="5" spans="1:13" ht="15.75" x14ac:dyDescent="0.25">
      <c r="A5" s="24" t="s">
        <v>36</v>
      </c>
      <c r="B5" s="17"/>
      <c r="E5" s="11" t="s">
        <v>3</v>
      </c>
      <c r="F5" s="14">
        <v>0.2152</v>
      </c>
      <c r="G5" s="14"/>
      <c r="H5" s="15"/>
      <c r="I5" s="20"/>
      <c r="J5" s="20"/>
      <c r="K5" s="20"/>
    </row>
    <row r="6" spans="1:13" ht="15.75" x14ac:dyDescent="0.25">
      <c r="A6" s="24" t="s">
        <v>37</v>
      </c>
      <c r="B6" s="17"/>
      <c r="E6" s="35"/>
      <c r="F6" s="14"/>
      <c r="G6" s="14"/>
      <c r="H6" s="15"/>
      <c r="I6" s="20"/>
      <c r="J6" s="20"/>
      <c r="K6" s="20"/>
    </row>
    <row r="7" spans="1:13" ht="15.75" x14ac:dyDescent="0.25">
      <c r="A7" s="25" t="s">
        <v>4</v>
      </c>
      <c r="B7" s="2"/>
      <c r="C7" s="2" t="s">
        <v>5</v>
      </c>
      <c r="D7" s="2" t="s">
        <v>6</v>
      </c>
      <c r="E7" s="2" t="s">
        <v>7</v>
      </c>
      <c r="F7" s="2" t="s">
        <v>22</v>
      </c>
      <c r="G7" s="2" t="s">
        <v>8</v>
      </c>
      <c r="H7" s="2" t="s">
        <v>9</v>
      </c>
      <c r="I7" s="2" t="s">
        <v>10</v>
      </c>
      <c r="J7" s="2" t="s">
        <v>11</v>
      </c>
      <c r="K7" s="2" t="s">
        <v>12</v>
      </c>
      <c r="L7" s="2" t="s">
        <v>21</v>
      </c>
    </row>
    <row r="8" spans="1:13" ht="15.75" x14ac:dyDescent="0.25">
      <c r="A8" s="25"/>
      <c r="B8" s="2"/>
      <c r="C8" s="2" t="s">
        <v>6</v>
      </c>
      <c r="D8" s="2" t="s">
        <v>13</v>
      </c>
      <c r="E8" s="2"/>
      <c r="F8" s="2"/>
      <c r="G8" s="2"/>
      <c r="H8" s="6" t="s">
        <v>14</v>
      </c>
      <c r="J8" s="2" t="s">
        <v>15</v>
      </c>
      <c r="K8" s="2"/>
      <c r="L8" s="2"/>
    </row>
    <row r="9" spans="1:13" ht="16.5" thickBot="1" x14ac:dyDescent="0.3">
      <c r="A9" s="26"/>
      <c r="B9" s="3"/>
      <c r="C9" s="3" t="s">
        <v>16</v>
      </c>
      <c r="D9" s="3" t="s">
        <v>17</v>
      </c>
      <c r="E9" s="3"/>
      <c r="F9" s="3"/>
      <c r="G9" s="3"/>
      <c r="H9" s="21" t="s">
        <v>18</v>
      </c>
      <c r="I9" s="21" t="s">
        <v>19</v>
      </c>
      <c r="J9" s="3" t="s">
        <v>19</v>
      </c>
      <c r="K9" s="3" t="s">
        <v>19</v>
      </c>
      <c r="L9" s="3" t="s">
        <v>20</v>
      </c>
    </row>
    <row r="10" spans="1:13" ht="13.5" thickTop="1" x14ac:dyDescent="0.2">
      <c r="A10" s="16" t="s">
        <v>40</v>
      </c>
      <c r="B10" s="16"/>
      <c r="C10" s="4">
        <v>0.04</v>
      </c>
      <c r="D10" s="5">
        <v>14</v>
      </c>
      <c r="E10" s="4">
        <v>2.4689999999999999</v>
      </c>
      <c r="F10" s="4">
        <f>E10/$M$2</f>
        <v>0.10607720564542114</v>
      </c>
      <c r="G10">
        <v>1</v>
      </c>
      <c r="H10" s="4">
        <f t="shared" ref="H10:H40" si="0">((((F10-$F$5)/$F$2)/1000)*D10)</f>
        <v>-6.1108764838564159E-2</v>
      </c>
      <c r="I10" s="4">
        <f>((H10/C10)*G10)</f>
        <v>-1.5277191209641039</v>
      </c>
      <c r="J10" s="7"/>
      <c r="K10" s="7"/>
      <c r="L10" s="8"/>
    </row>
    <row r="11" spans="1:13" x14ac:dyDescent="0.2">
      <c r="A11" s="16" t="s">
        <v>41</v>
      </c>
      <c r="B11" s="29"/>
      <c r="C11" s="38">
        <v>3.1E-2</v>
      </c>
      <c r="D11" s="5">
        <v>14</v>
      </c>
      <c r="E11" s="38">
        <v>2.2669999999999999</v>
      </c>
      <c r="F11" s="4">
        <f t="shared" ref="F11:F41" si="1">E11/$M$2</f>
        <v>9.7398552125625648E-2</v>
      </c>
      <c r="G11">
        <v>1</v>
      </c>
      <c r="H11" s="4">
        <f t="shared" si="0"/>
        <v>-6.5968810809649628E-2</v>
      </c>
      <c r="I11" s="4">
        <f t="shared" ref="I11:I41" si="2">((H11/C11)*G11)</f>
        <v>-2.1280261551499882</v>
      </c>
      <c r="J11" s="7"/>
      <c r="K11" s="7"/>
      <c r="L11" s="8"/>
    </row>
    <row r="12" spans="1:13" x14ac:dyDescent="0.2">
      <c r="A12" s="16" t="s">
        <v>42</v>
      </c>
      <c r="B12" s="29"/>
      <c r="C12" s="38">
        <v>2.13</v>
      </c>
      <c r="D12" s="5">
        <v>14</v>
      </c>
      <c r="E12" s="38">
        <v>34.929000000000002</v>
      </c>
      <c r="F12" s="4">
        <f t="shared" si="1"/>
        <v>1.5006766771927564</v>
      </c>
      <c r="G12">
        <v>1</v>
      </c>
      <c r="H12" s="4">
        <f t="shared" si="0"/>
        <v>0.71986693922794354</v>
      </c>
      <c r="I12" s="4">
        <f t="shared" si="2"/>
        <v>0.33796569916804864</v>
      </c>
      <c r="J12" s="7"/>
      <c r="K12" s="7"/>
      <c r="L12" s="8"/>
    </row>
    <row r="13" spans="1:13" x14ac:dyDescent="0.2">
      <c r="A13" s="16" t="s">
        <v>43</v>
      </c>
      <c r="B13" s="29"/>
      <c r="C13" s="38">
        <v>2E-3</v>
      </c>
      <c r="D13" s="5">
        <v>14</v>
      </c>
      <c r="E13" s="38">
        <v>2.7</v>
      </c>
      <c r="F13" s="4">
        <f t="shared" si="1"/>
        <v>0.11600180447251401</v>
      </c>
      <c r="G13">
        <v>1</v>
      </c>
      <c r="H13" s="4">
        <f t="shared" si="0"/>
        <v>-5.5550989495392153E-2</v>
      </c>
      <c r="I13" s="4">
        <f t="shared" si="2"/>
        <v>-27.775494747696076</v>
      </c>
      <c r="J13" s="7"/>
      <c r="K13" s="7"/>
      <c r="L13" s="8"/>
    </row>
    <row r="14" spans="1:13" x14ac:dyDescent="0.2">
      <c r="A14" s="16" t="s">
        <v>44</v>
      </c>
      <c r="B14" s="29"/>
      <c r="C14" s="38">
        <v>0.41499999999999998</v>
      </c>
      <c r="D14" s="5">
        <v>14</v>
      </c>
      <c r="E14" s="38">
        <v>8.9350000000000005</v>
      </c>
      <c r="F14" s="4">
        <f t="shared" si="1"/>
        <v>0.38388004554144917</v>
      </c>
      <c r="G14">
        <v>1</v>
      </c>
      <c r="H14" s="4">
        <f t="shared" si="0"/>
        <v>9.4460825503211526E-2</v>
      </c>
      <c r="I14" s="4">
        <f t="shared" si="2"/>
        <v>0.22761644699569045</v>
      </c>
      <c r="J14" s="7"/>
      <c r="K14" s="7"/>
      <c r="L14" s="8"/>
    </row>
    <row r="15" spans="1:13" x14ac:dyDescent="0.2">
      <c r="A15" s="16" t="s">
        <v>45</v>
      </c>
      <c r="B15" s="29"/>
      <c r="C15" s="38">
        <v>3</v>
      </c>
      <c r="D15" s="5">
        <v>14</v>
      </c>
      <c r="E15" s="38">
        <v>5.0730000000000004</v>
      </c>
      <c r="F15" s="4">
        <f t="shared" si="1"/>
        <v>0.21795450151446802</v>
      </c>
      <c r="G15">
        <v>1</v>
      </c>
      <c r="H15" s="4">
        <f t="shared" si="0"/>
        <v>1.5425208481020891E-3</v>
      </c>
      <c r="I15" s="4">
        <f t="shared" si="2"/>
        <v>5.1417361603402971E-4</v>
      </c>
      <c r="J15" s="7"/>
      <c r="K15" s="7"/>
      <c r="L15" s="8"/>
    </row>
    <row r="16" spans="1:13" x14ac:dyDescent="0.2">
      <c r="A16" s="16" t="s">
        <v>46</v>
      </c>
      <c r="B16" s="29"/>
      <c r="C16" s="38">
        <v>2.4750000000000001</v>
      </c>
      <c r="D16" s="5">
        <v>14</v>
      </c>
      <c r="E16" s="38">
        <v>21.774999999999999</v>
      </c>
      <c r="F16" s="4">
        <f t="shared" si="1"/>
        <v>0.93553307125518237</v>
      </c>
      <c r="G16">
        <v>1</v>
      </c>
      <c r="H16" s="4">
        <f t="shared" si="0"/>
        <v>0.40338651990290209</v>
      </c>
      <c r="I16" s="4">
        <f t="shared" si="2"/>
        <v>0.16298445248602103</v>
      </c>
      <c r="J16" s="7"/>
      <c r="K16" s="7"/>
      <c r="L16" s="8"/>
    </row>
    <row r="17" spans="1:12" x14ac:dyDescent="0.2">
      <c r="A17" s="16" t="s">
        <v>47</v>
      </c>
      <c r="B17" s="29"/>
      <c r="C17" s="38">
        <v>0.01</v>
      </c>
      <c r="D17" s="5">
        <v>14</v>
      </c>
      <c r="E17" s="38">
        <v>2.8679999999999999</v>
      </c>
      <c r="F17" s="4">
        <f t="shared" si="1"/>
        <v>0.12321969452858154</v>
      </c>
      <c r="G17">
        <v>1</v>
      </c>
      <c r="H17" s="4">
        <f t="shared" si="0"/>
        <v>-5.1508971063994331E-2</v>
      </c>
      <c r="I17" s="4">
        <f t="shared" si="2"/>
        <v>-5.1508971063994329</v>
      </c>
      <c r="J17" s="7"/>
      <c r="K17" s="7"/>
      <c r="L17" s="8"/>
    </row>
    <row r="18" spans="1:12" x14ac:dyDescent="0.2">
      <c r="A18" s="16" t="s">
        <v>48</v>
      </c>
      <c r="B18" s="29"/>
      <c r="C18" s="38">
        <v>0.01</v>
      </c>
      <c r="D18" s="5">
        <v>14</v>
      </c>
      <c r="E18" s="38">
        <v>2.3980000000000001</v>
      </c>
      <c r="F18" s="4">
        <f t="shared" si="1"/>
        <v>0.10302678782410689</v>
      </c>
      <c r="G18">
        <v>1</v>
      </c>
      <c r="H18" s="4">
        <f t="shared" si="0"/>
        <v>-6.2816998818500142E-2</v>
      </c>
      <c r="I18" s="4">
        <f t="shared" si="2"/>
        <v>-6.281699881850014</v>
      </c>
      <c r="J18" s="7"/>
      <c r="K18" s="7"/>
      <c r="L18" s="8"/>
    </row>
    <row r="19" spans="1:12" x14ac:dyDescent="0.2">
      <c r="A19" s="16" t="s">
        <v>49</v>
      </c>
      <c r="B19" s="29"/>
      <c r="C19" s="38">
        <v>6.9249999999999998</v>
      </c>
      <c r="D19" s="5">
        <v>14</v>
      </c>
      <c r="E19" s="38">
        <v>53.165999999999997</v>
      </c>
      <c r="F19" s="4">
        <f t="shared" si="1"/>
        <v>2.2842044209576593</v>
      </c>
      <c r="G19">
        <v>1</v>
      </c>
      <c r="H19" s="4">
        <f t="shared" si="0"/>
        <v>1.1586424757362892</v>
      </c>
      <c r="I19" s="4">
        <f t="shared" si="2"/>
        <v>0.16731299288610674</v>
      </c>
      <c r="J19" s="7"/>
      <c r="K19" s="7"/>
      <c r="L19" s="8"/>
    </row>
    <row r="20" spans="1:12" x14ac:dyDescent="0.2">
      <c r="A20" s="16" t="s">
        <v>50</v>
      </c>
      <c r="B20" s="29"/>
      <c r="C20" s="38">
        <v>8.0000000000000004E-4</v>
      </c>
      <c r="D20" s="5">
        <v>14</v>
      </c>
      <c r="E20" s="38">
        <v>6.194</v>
      </c>
      <c r="F20" s="4">
        <f t="shared" si="1"/>
        <v>0.26611673218620435</v>
      </c>
      <c r="G20">
        <v>1</v>
      </c>
      <c r="H20" s="4">
        <f t="shared" si="0"/>
        <v>2.8513370024274433E-2</v>
      </c>
      <c r="I20" s="4">
        <f t="shared" si="2"/>
        <v>35.641712530343042</v>
      </c>
      <c r="J20" s="7"/>
      <c r="K20" s="7"/>
      <c r="L20" s="8"/>
    </row>
    <row r="21" spans="1:12" x14ac:dyDescent="0.2">
      <c r="A21" s="16" t="s">
        <v>51</v>
      </c>
      <c r="B21" s="29"/>
      <c r="C21" s="38">
        <v>0.79</v>
      </c>
      <c r="D21" s="5">
        <v>14</v>
      </c>
      <c r="E21" s="38">
        <v>4.9240000000000004</v>
      </c>
      <c r="F21" s="4">
        <f t="shared" si="1"/>
        <v>0.21155292045283669</v>
      </c>
      <c r="G21">
        <v>1</v>
      </c>
      <c r="H21" s="4">
        <f t="shared" si="0"/>
        <v>-2.0423645464114548E-3</v>
      </c>
      <c r="I21" s="4">
        <f t="shared" si="2"/>
        <v>-2.5852715777360184E-3</v>
      </c>
      <c r="J21" s="7"/>
      <c r="K21" s="7"/>
      <c r="L21" s="8"/>
    </row>
    <row r="22" spans="1:12" x14ac:dyDescent="0.2">
      <c r="A22" s="16" t="s">
        <v>52</v>
      </c>
      <c r="B22" s="29"/>
      <c r="C22" s="38">
        <v>3.4000000000000002E-2</v>
      </c>
      <c r="D22" s="5">
        <v>14</v>
      </c>
      <c r="E22" s="38">
        <v>6.3019999999999996</v>
      </c>
      <c r="F22" s="4">
        <f t="shared" si="1"/>
        <v>0.27075680436510491</v>
      </c>
      <c r="G22">
        <v>1</v>
      </c>
      <c r="H22" s="4">
        <f t="shared" si="0"/>
        <v>3.1111810444458744E-2</v>
      </c>
      <c r="I22" s="4">
        <f t="shared" si="2"/>
        <v>0.91505324836643354</v>
      </c>
      <c r="J22" s="7"/>
      <c r="K22" s="7"/>
      <c r="L22" s="8"/>
    </row>
    <row r="23" spans="1:12" x14ac:dyDescent="0.2">
      <c r="A23" s="16" t="s">
        <v>53</v>
      </c>
      <c r="B23" s="29"/>
      <c r="C23" s="38">
        <v>0.01</v>
      </c>
      <c r="D23" s="5">
        <v>14</v>
      </c>
      <c r="E23" s="38">
        <v>3.01</v>
      </c>
      <c r="F23" s="4">
        <f t="shared" si="1"/>
        <v>0.12932053017121006</v>
      </c>
      <c r="G23">
        <v>1</v>
      </c>
      <c r="H23" s="4">
        <f t="shared" si="0"/>
        <v>-4.8092503104122365E-2</v>
      </c>
      <c r="I23" s="4">
        <f t="shared" si="2"/>
        <v>-4.8092503104122368</v>
      </c>
      <c r="J23" s="7"/>
      <c r="K23" s="7"/>
      <c r="L23" s="8"/>
    </row>
    <row r="24" spans="1:12" x14ac:dyDescent="0.2">
      <c r="A24" s="16" t="s">
        <v>54</v>
      </c>
      <c r="B24" s="29"/>
      <c r="C24" s="38">
        <v>0.05</v>
      </c>
      <c r="D24" s="5">
        <v>14</v>
      </c>
      <c r="E24" s="38">
        <v>3.4430000000000001</v>
      </c>
      <c r="F24" s="4">
        <f t="shared" si="1"/>
        <v>0.14792378251809843</v>
      </c>
      <c r="G24">
        <v>1</v>
      </c>
      <c r="H24" s="4">
        <f t="shared" si="0"/>
        <v>-3.7674681789864876E-2</v>
      </c>
      <c r="I24" s="4">
        <f t="shared" si="2"/>
        <v>-0.75349363579729745</v>
      </c>
      <c r="J24" s="7"/>
      <c r="K24" s="7"/>
      <c r="L24" s="8"/>
    </row>
    <row r="25" spans="1:12" x14ac:dyDescent="0.2">
      <c r="A25" s="16" t="s">
        <v>55</v>
      </c>
      <c r="B25" s="29"/>
      <c r="C25" s="38">
        <v>8</v>
      </c>
      <c r="D25" s="5">
        <v>14</v>
      </c>
      <c r="E25" s="38">
        <v>33.078000000000003</v>
      </c>
      <c r="F25" s="4">
        <f t="shared" si="1"/>
        <v>1.4211509956821551</v>
      </c>
      <c r="G25">
        <v>1</v>
      </c>
      <c r="H25" s="4">
        <f t="shared" si="0"/>
        <v>0.67533255758200683</v>
      </c>
      <c r="I25" s="4">
        <f t="shared" si="2"/>
        <v>8.4416569697750854E-2</v>
      </c>
      <c r="J25" s="7"/>
      <c r="K25" s="7"/>
      <c r="L25" s="8"/>
    </row>
    <row r="26" spans="1:12" x14ac:dyDescent="0.2">
      <c r="A26" s="16" t="s">
        <v>56</v>
      </c>
      <c r="B26" s="29"/>
      <c r="C26" s="38">
        <v>1.5</v>
      </c>
      <c r="D26" s="5">
        <v>14</v>
      </c>
      <c r="E26" s="38">
        <v>20.792999999999999</v>
      </c>
      <c r="F26" s="4">
        <f t="shared" si="1"/>
        <v>0.89334278533221623</v>
      </c>
      <c r="G26">
        <v>1</v>
      </c>
      <c r="H26" s="4">
        <f t="shared" si="0"/>
        <v>0.37975995978604105</v>
      </c>
      <c r="I26" s="4">
        <f t="shared" si="2"/>
        <v>0.25317330652402736</v>
      </c>
      <c r="J26" s="7"/>
      <c r="K26" s="7"/>
      <c r="L26" s="8"/>
    </row>
    <row r="27" spans="1:12" x14ac:dyDescent="0.2">
      <c r="A27" s="16" t="s">
        <v>57</v>
      </c>
      <c r="B27" s="29"/>
      <c r="C27" s="38">
        <v>0.216</v>
      </c>
      <c r="D27" s="5">
        <v>14</v>
      </c>
      <c r="E27" s="38">
        <v>12.94</v>
      </c>
      <c r="F27" s="4">
        <f t="shared" si="1"/>
        <v>0.5559493888423449</v>
      </c>
      <c r="G27">
        <v>1</v>
      </c>
      <c r="H27" s="4">
        <f t="shared" si="0"/>
        <v>0.19081965775171311</v>
      </c>
      <c r="I27" s="4">
        <f t="shared" si="2"/>
        <v>0.88342434144311632</v>
      </c>
      <c r="J27" s="7"/>
      <c r="K27" s="7"/>
      <c r="L27" s="8"/>
    </row>
    <row r="28" spans="1:12" x14ac:dyDescent="0.2">
      <c r="A28" s="16" t="s">
        <v>58</v>
      </c>
      <c r="B28" s="29"/>
      <c r="C28" s="38">
        <v>1.5</v>
      </c>
      <c r="D28" s="5">
        <v>14</v>
      </c>
      <c r="E28" s="38">
        <v>22.212</v>
      </c>
      <c r="F28" s="4">
        <f t="shared" si="1"/>
        <v>0.95430817812721525</v>
      </c>
      <c r="G28">
        <v>1</v>
      </c>
      <c r="H28" s="4">
        <f t="shared" si="0"/>
        <v>0.41390057975124056</v>
      </c>
      <c r="I28" s="4">
        <f t="shared" si="2"/>
        <v>0.27593371983416037</v>
      </c>
      <c r="J28" s="7"/>
      <c r="K28" s="7"/>
      <c r="L28" s="8"/>
    </row>
    <row r="29" spans="1:12" x14ac:dyDescent="0.2">
      <c r="A29" s="16" t="s">
        <v>59</v>
      </c>
      <c r="B29" s="28"/>
      <c r="C29" s="38">
        <v>1.7999999999999999E-2</v>
      </c>
      <c r="D29" s="5">
        <v>14</v>
      </c>
      <c r="E29" s="38">
        <v>4.7759999999999998</v>
      </c>
      <c r="F29" s="4">
        <f t="shared" si="1"/>
        <v>0.20519430302249145</v>
      </c>
      <c r="G29">
        <v>1</v>
      </c>
      <c r="H29" s="4">
        <f t="shared" si="0"/>
        <v>-5.6031903074047901E-3</v>
      </c>
      <c r="I29" s="4">
        <f t="shared" si="2"/>
        <v>-0.31128835041137726</v>
      </c>
      <c r="J29" s="7"/>
      <c r="K29" s="7"/>
      <c r="L29" s="8"/>
    </row>
    <row r="30" spans="1:12" x14ac:dyDescent="0.2">
      <c r="A30" s="16" t="s">
        <v>60</v>
      </c>
      <c r="B30" s="31"/>
      <c r="C30" s="39">
        <v>0.1</v>
      </c>
      <c r="D30" s="5">
        <v>14</v>
      </c>
      <c r="E30" s="39">
        <v>1.7490000000000001</v>
      </c>
      <c r="F30" s="4">
        <f t="shared" si="1"/>
        <v>7.514339111941741E-2</v>
      </c>
      <c r="G30">
        <v>1</v>
      </c>
      <c r="H30" s="4">
        <f t="shared" si="0"/>
        <v>-7.8431700973126239E-2</v>
      </c>
      <c r="I30" s="4">
        <f t="shared" si="2"/>
        <v>-0.78431700973126239</v>
      </c>
      <c r="J30" s="7"/>
      <c r="K30" s="7"/>
      <c r="L30" s="8"/>
    </row>
    <row r="31" spans="1:12" x14ac:dyDescent="0.2">
      <c r="A31" s="16" t="s">
        <v>61</v>
      </c>
      <c r="B31" s="28"/>
      <c r="C31" s="39">
        <v>1.5</v>
      </c>
      <c r="D31" s="5">
        <v>14</v>
      </c>
      <c r="E31" s="39">
        <v>11.228999999999999</v>
      </c>
      <c r="F31" s="4">
        <f t="shared" si="1"/>
        <v>0.48243861571179991</v>
      </c>
      <c r="G31">
        <v>1</v>
      </c>
      <c r="H31" s="4">
        <f t="shared" si="0"/>
        <v>0.14965362479860794</v>
      </c>
      <c r="I31" s="4">
        <f t="shared" si="2"/>
        <v>9.9769083199071962E-2</v>
      </c>
      <c r="J31" s="7"/>
      <c r="K31" s="7"/>
      <c r="L31" s="8"/>
    </row>
    <row r="32" spans="1:12" x14ac:dyDescent="0.2">
      <c r="A32" s="16" t="s">
        <v>62</v>
      </c>
      <c r="B32" s="28"/>
      <c r="C32" s="39">
        <v>1.5</v>
      </c>
      <c r="D32" s="5">
        <v>14</v>
      </c>
      <c r="E32" s="39">
        <v>23.882000000000001</v>
      </c>
      <c r="F32" s="4">
        <f t="shared" si="1"/>
        <v>1.0260574423750295</v>
      </c>
      <c r="G32">
        <v>1</v>
      </c>
      <c r="H32" s="4">
        <f t="shared" si="0"/>
        <v>0.45408016773001647</v>
      </c>
      <c r="I32" s="4">
        <f t="shared" si="2"/>
        <v>0.30272011182001096</v>
      </c>
      <c r="J32" s="7"/>
      <c r="K32" s="7"/>
      <c r="L32" s="8"/>
    </row>
    <row r="33" spans="1:12" x14ac:dyDescent="0.2">
      <c r="A33" s="16" t="s">
        <v>63</v>
      </c>
      <c r="B33" s="31"/>
      <c r="C33" s="39">
        <v>4.0000000000000001E-3</v>
      </c>
      <c r="D33" s="5">
        <v>14</v>
      </c>
      <c r="E33" s="39">
        <v>2.2629999999999999</v>
      </c>
      <c r="F33" s="4">
        <f t="shared" si="1"/>
        <v>9.7226697600481179E-2</v>
      </c>
      <c r="G33">
        <v>1</v>
      </c>
      <c r="H33" s="4">
        <f t="shared" si="0"/>
        <v>-6.6065049343730545E-2</v>
      </c>
      <c r="I33" s="4">
        <f t="shared" si="2"/>
        <v>-16.516262335932637</v>
      </c>
      <c r="J33" s="7"/>
      <c r="K33" s="7"/>
      <c r="L33" s="8"/>
    </row>
    <row r="34" spans="1:12" x14ac:dyDescent="0.2">
      <c r="A34" s="16" t="s">
        <v>64</v>
      </c>
      <c r="B34" s="28"/>
      <c r="C34" s="39">
        <v>4.0000000000000001E-3</v>
      </c>
      <c r="D34" s="5">
        <v>14</v>
      </c>
      <c r="E34" s="39">
        <v>2.3759999999999999</v>
      </c>
      <c r="F34" s="4">
        <f t="shared" si="1"/>
        <v>0.10208158793581233</v>
      </c>
      <c r="G34">
        <v>1</v>
      </c>
      <c r="H34" s="4">
        <f t="shared" si="0"/>
        <v>-6.3346310755945087E-2</v>
      </c>
      <c r="I34" s="4">
        <f t="shared" si="2"/>
        <v>-15.836577688986271</v>
      </c>
      <c r="J34" s="7"/>
      <c r="K34" s="7"/>
      <c r="L34" s="8"/>
    </row>
    <row r="35" spans="1:12" x14ac:dyDescent="0.2">
      <c r="A35" s="16" t="s">
        <v>65</v>
      </c>
      <c r="B35" s="28"/>
      <c r="C35" s="39">
        <v>4.0000000000000001E-3</v>
      </c>
      <c r="D35" s="5">
        <v>14</v>
      </c>
      <c r="E35" s="39">
        <v>2.62</v>
      </c>
      <c r="F35" s="4">
        <f t="shared" si="1"/>
        <v>0.11256471396962471</v>
      </c>
      <c r="G35">
        <v>1</v>
      </c>
      <c r="H35" s="4">
        <f t="shared" si="0"/>
        <v>-5.7475760177010157E-2</v>
      </c>
      <c r="I35" s="4">
        <f t="shared" si="2"/>
        <v>-14.36894004425254</v>
      </c>
      <c r="J35" s="7"/>
      <c r="K35" s="7"/>
      <c r="L35" s="8"/>
    </row>
    <row r="36" spans="1:12" x14ac:dyDescent="0.2">
      <c r="A36" s="16" t="s">
        <v>66</v>
      </c>
      <c r="B36" s="31"/>
      <c r="C36" s="39">
        <v>4.0000000000000001E-3</v>
      </c>
      <c r="D36" s="5">
        <v>14</v>
      </c>
      <c r="E36" s="39">
        <v>2.5459999999999998</v>
      </c>
      <c r="F36" s="4">
        <f t="shared" si="1"/>
        <v>0.10938540525445209</v>
      </c>
      <c r="G36">
        <v>1</v>
      </c>
      <c r="H36" s="4">
        <f t="shared" si="0"/>
        <v>-5.9256173057506828E-2</v>
      </c>
      <c r="I36" s="4">
        <f t="shared" si="2"/>
        <v>-14.814043264376707</v>
      </c>
      <c r="J36" s="7"/>
      <c r="K36" s="7"/>
      <c r="L36" s="8"/>
    </row>
    <row r="37" spans="1:12" x14ac:dyDescent="0.2">
      <c r="A37" s="16" t="s">
        <v>67</v>
      </c>
      <c r="B37" s="28"/>
      <c r="C37" s="39">
        <v>0.3</v>
      </c>
      <c r="D37" s="5">
        <v>14</v>
      </c>
      <c r="E37" s="39">
        <v>16.097999999999999</v>
      </c>
      <c r="F37" s="4">
        <f t="shared" si="1"/>
        <v>0.69162853644390021</v>
      </c>
      <c r="G37">
        <v>1</v>
      </c>
      <c r="H37" s="4">
        <f t="shared" si="0"/>
        <v>0.2667999804085841</v>
      </c>
      <c r="I37" s="4">
        <f t="shared" si="2"/>
        <v>0.88933326802861368</v>
      </c>
      <c r="J37" s="7"/>
      <c r="K37" s="7"/>
      <c r="L37" s="8"/>
    </row>
    <row r="38" spans="1:12" x14ac:dyDescent="0.2">
      <c r="A38" s="16" t="s">
        <v>68</v>
      </c>
      <c r="B38" s="28"/>
      <c r="C38" s="39">
        <v>0.27</v>
      </c>
      <c r="D38" s="5">
        <v>14</v>
      </c>
      <c r="E38" s="39">
        <v>14.5</v>
      </c>
      <c r="F38" s="4">
        <f t="shared" si="1"/>
        <v>0.62297265364868637</v>
      </c>
      <c r="G38">
        <v>1</v>
      </c>
      <c r="H38" s="4">
        <f t="shared" si="0"/>
        <v>0.22835268604326434</v>
      </c>
      <c r="I38" s="4">
        <f t="shared" si="2"/>
        <v>0.84575068904912709</v>
      </c>
      <c r="J38" s="7"/>
      <c r="K38" s="7"/>
      <c r="L38" s="8"/>
    </row>
    <row r="39" spans="1:12" x14ac:dyDescent="0.2">
      <c r="A39" s="16" t="s">
        <v>69</v>
      </c>
      <c r="B39" s="31"/>
      <c r="C39" s="39">
        <v>2.3E-2</v>
      </c>
      <c r="D39" s="5">
        <v>14</v>
      </c>
      <c r="E39" s="39">
        <v>3.3039999999999998</v>
      </c>
      <c r="F39" s="4">
        <f t="shared" si="1"/>
        <v>0.14195183776932824</v>
      </c>
      <c r="G39">
        <v>1</v>
      </c>
      <c r="H39" s="4">
        <f t="shared" si="0"/>
        <v>-4.101897084917619E-2</v>
      </c>
      <c r="I39" s="4">
        <f t="shared" si="2"/>
        <v>-1.7834335151815734</v>
      </c>
      <c r="J39" s="7"/>
      <c r="K39" s="7"/>
      <c r="L39" s="8"/>
    </row>
    <row r="40" spans="1:12" x14ac:dyDescent="0.2">
      <c r="A40" s="16" t="s">
        <v>70</v>
      </c>
      <c r="B40" s="28"/>
      <c r="C40" s="39">
        <v>2.1999999999999999E-2</v>
      </c>
      <c r="D40" s="5">
        <v>14</v>
      </c>
      <c r="E40" s="39">
        <v>3.052</v>
      </c>
      <c r="F40" s="4">
        <f t="shared" si="1"/>
        <v>0.13112500268522695</v>
      </c>
      <c r="G40">
        <v>1</v>
      </c>
      <c r="H40" s="4">
        <f t="shared" si="0"/>
        <v>-4.7081998496272905E-2</v>
      </c>
      <c r="I40" s="4">
        <f t="shared" si="2"/>
        <v>-2.1400908407396777</v>
      </c>
      <c r="J40" s="7"/>
      <c r="K40" s="7"/>
      <c r="L40" s="8"/>
    </row>
    <row r="41" spans="1:12" x14ac:dyDescent="0.2">
      <c r="A41" s="16" t="s">
        <v>71</v>
      </c>
      <c r="B41" s="28"/>
      <c r="C41" s="39">
        <v>4.0000000000000001E-3</v>
      </c>
      <c r="D41" s="5">
        <v>14</v>
      </c>
      <c r="E41" s="39">
        <v>2.6459999999999999</v>
      </c>
      <c r="F41" s="4">
        <f t="shared" si="1"/>
        <v>0.11368176838306372</v>
      </c>
      <c r="G41">
        <v>1</v>
      </c>
      <c r="H41" s="4">
        <f t="shared" ref="H41:H56" si="3">((((F41-$F$5)/$F$2)/1000)*D41)</f>
        <v>-5.6850209705484309E-2</v>
      </c>
      <c r="I41" s="4">
        <f t="shared" si="2"/>
        <v>-14.212552426371078</v>
      </c>
      <c r="J41" s="7"/>
      <c r="K41" s="7"/>
      <c r="L41" s="8"/>
    </row>
    <row r="42" spans="1:12" x14ac:dyDescent="0.2">
      <c r="A42" s="16" t="s">
        <v>72</v>
      </c>
      <c r="B42" s="28"/>
      <c r="C42" s="39">
        <v>4.0000000000000001E-3</v>
      </c>
      <c r="D42" s="5">
        <v>14</v>
      </c>
      <c r="E42" s="39">
        <v>2.661</v>
      </c>
      <c r="F42" s="4">
        <f t="shared" ref="F42:F81" si="4">E42/$M$2</f>
        <v>0.11432622285235548</v>
      </c>
      <c r="G42">
        <v>1</v>
      </c>
      <c r="H42" s="4">
        <f t="shared" si="3"/>
        <v>-5.6489315202680933E-2</v>
      </c>
      <c r="I42" s="4">
        <f t="shared" ref="I42:I57" si="5">((H42/C42)*G42)</f>
        <v>-14.122328800670234</v>
      </c>
      <c r="J42" s="7"/>
      <c r="K42" s="7"/>
      <c r="L42" s="8"/>
    </row>
    <row r="43" spans="1:12" x14ac:dyDescent="0.2">
      <c r="A43" s="16" t="s">
        <v>73</v>
      </c>
      <c r="B43" s="28"/>
      <c r="C43" s="39">
        <v>2.1999999999999999E-2</v>
      </c>
      <c r="D43" s="5">
        <v>14</v>
      </c>
      <c r="E43" s="39">
        <v>2.536</v>
      </c>
      <c r="F43" s="4">
        <f t="shared" si="4"/>
        <v>0.10895576894159094</v>
      </c>
      <c r="G43">
        <v>1</v>
      </c>
      <c r="H43" s="4">
        <f t="shared" si="3"/>
        <v>-5.9496769392709072E-2</v>
      </c>
      <c r="I43" s="4">
        <f t="shared" si="5"/>
        <v>-2.7043986087595036</v>
      </c>
      <c r="J43" s="7"/>
      <c r="K43" s="7"/>
      <c r="L43" s="8"/>
    </row>
    <row r="44" spans="1:12" x14ac:dyDescent="0.2">
      <c r="A44" s="16" t="s">
        <v>74</v>
      </c>
      <c r="B44" s="28"/>
      <c r="C44" s="39">
        <v>0.01</v>
      </c>
      <c r="D44" s="5">
        <v>14</v>
      </c>
      <c r="E44" s="39">
        <v>4.3129999999999997</v>
      </c>
      <c r="F44" s="4">
        <f t="shared" si="4"/>
        <v>0.18530214173701959</v>
      </c>
      <c r="G44">
        <v>1</v>
      </c>
      <c r="H44" s="4">
        <f t="shared" si="3"/>
        <v>-1.6742800627269031E-2</v>
      </c>
      <c r="I44" s="4">
        <f t="shared" si="5"/>
        <v>-1.674280062726903</v>
      </c>
      <c r="J44" s="7"/>
      <c r="K44" s="7"/>
      <c r="L44" s="8"/>
    </row>
    <row r="45" spans="1:12" x14ac:dyDescent="0.2">
      <c r="A45" s="16" t="s">
        <v>75</v>
      </c>
      <c r="B45" s="28"/>
      <c r="C45" s="39">
        <v>2.4E-2</v>
      </c>
      <c r="D45" s="5">
        <v>14</v>
      </c>
      <c r="E45" s="39">
        <v>4.2629999999999999</v>
      </c>
      <c r="F45" s="4">
        <f t="shared" si="4"/>
        <v>0.18315396017271379</v>
      </c>
      <c r="G45">
        <v>1</v>
      </c>
      <c r="H45" s="4">
        <f t="shared" si="3"/>
        <v>-1.794578230328028E-2</v>
      </c>
      <c r="I45" s="4">
        <f t="shared" si="5"/>
        <v>-0.74774092930334501</v>
      </c>
      <c r="J45" s="7"/>
      <c r="K45" s="7"/>
      <c r="L45" s="8"/>
    </row>
    <row r="46" spans="1:12" x14ac:dyDescent="0.2">
      <c r="A46" s="16" t="s">
        <v>76</v>
      </c>
      <c r="B46" s="28"/>
      <c r="C46" s="39">
        <v>1.5</v>
      </c>
      <c r="D46" s="5">
        <v>14</v>
      </c>
      <c r="E46" s="39">
        <v>2.2959999999999998</v>
      </c>
      <c r="F46" s="4">
        <f t="shared" si="4"/>
        <v>9.8644497432923015E-2</v>
      </c>
      <c r="G46">
        <v>1</v>
      </c>
      <c r="H46" s="4">
        <f t="shared" si="3"/>
        <v>-6.5271081437563119E-2</v>
      </c>
      <c r="I46" s="4">
        <f t="shared" si="5"/>
        <v>-4.3514054291708744E-2</v>
      </c>
      <c r="J46" s="7"/>
      <c r="K46" s="7"/>
      <c r="L46" s="8"/>
    </row>
    <row r="47" spans="1:12" x14ac:dyDescent="0.2">
      <c r="A47" s="16" t="s">
        <v>77</v>
      </c>
      <c r="B47" s="28"/>
      <c r="C47" s="39">
        <v>1.5</v>
      </c>
      <c r="D47" s="5">
        <v>14</v>
      </c>
      <c r="E47" s="39">
        <v>5.5419999999999998</v>
      </c>
      <c r="F47" s="4">
        <f t="shared" si="4"/>
        <v>0.23810444458765653</v>
      </c>
      <c r="G47">
        <v>1</v>
      </c>
      <c r="H47" s="4">
        <f t="shared" si="3"/>
        <v>1.2826488969087656E-2</v>
      </c>
      <c r="I47" s="4">
        <f t="shared" si="5"/>
        <v>8.550992646058438E-3</v>
      </c>
      <c r="J47" s="7"/>
      <c r="K47" s="7"/>
      <c r="L47" s="8"/>
    </row>
    <row r="48" spans="1:12" x14ac:dyDescent="0.2">
      <c r="A48" s="16" t="s">
        <v>78</v>
      </c>
      <c r="B48" s="28"/>
      <c r="C48" s="39">
        <v>1.9E-2</v>
      </c>
      <c r="D48" s="5">
        <v>14</v>
      </c>
      <c r="E48" s="39">
        <v>1.823</v>
      </c>
      <c r="F48" s="4">
        <f t="shared" si="4"/>
        <v>7.8322699834590018E-2</v>
      </c>
      <c r="G48">
        <v>1</v>
      </c>
      <c r="H48" s="4">
        <f t="shared" si="3"/>
        <v>-7.6651288092629596E-2</v>
      </c>
      <c r="I48" s="4">
        <f t="shared" si="5"/>
        <v>-4.0342783206647157</v>
      </c>
      <c r="J48" s="7"/>
      <c r="K48" s="7"/>
      <c r="L48" s="8"/>
    </row>
    <row r="49" spans="1:12" x14ac:dyDescent="0.2">
      <c r="A49" s="16" t="s">
        <v>79</v>
      </c>
      <c r="B49" s="28"/>
      <c r="C49" s="39">
        <v>3.0000000000000001E-3</v>
      </c>
      <c r="D49" s="5">
        <v>14</v>
      </c>
      <c r="E49" s="39">
        <v>7.4829999999999997</v>
      </c>
      <c r="F49" s="4">
        <f t="shared" si="4"/>
        <v>0.32149685291400826</v>
      </c>
      <c r="G49">
        <v>1</v>
      </c>
      <c r="H49" s="4">
        <f t="shared" si="3"/>
        <v>5.9526237631844621E-2</v>
      </c>
      <c r="I49" s="4">
        <f t="shared" si="5"/>
        <v>19.842079210614873</v>
      </c>
      <c r="J49" s="7"/>
      <c r="K49" s="7"/>
      <c r="L49" s="8"/>
    </row>
    <row r="50" spans="1:12" x14ac:dyDescent="0.2">
      <c r="A50" s="16" t="s">
        <v>80</v>
      </c>
      <c r="B50" s="28"/>
      <c r="C50" s="39">
        <v>1.5</v>
      </c>
      <c r="D50" s="5">
        <v>14</v>
      </c>
      <c r="E50" s="39">
        <v>7.2969999999999997</v>
      </c>
      <c r="F50" s="4">
        <f t="shared" si="4"/>
        <v>0.31350561749479061</v>
      </c>
      <c r="G50">
        <v>1</v>
      </c>
      <c r="H50" s="4">
        <f t="shared" si="3"/>
        <v>5.5051145797082743E-2</v>
      </c>
      <c r="I50" s="4">
        <f t="shared" si="5"/>
        <v>3.6700763864721826E-2</v>
      </c>
      <c r="J50" s="7"/>
      <c r="K50" s="7"/>
      <c r="L50" s="8"/>
    </row>
    <row r="51" spans="1:12" x14ac:dyDescent="0.2">
      <c r="A51" s="16" t="s">
        <v>81</v>
      </c>
      <c r="B51" s="28"/>
      <c r="C51" s="39">
        <v>2.1150000000000002</v>
      </c>
      <c r="D51" s="5">
        <v>14</v>
      </c>
      <c r="E51" s="39">
        <v>5.5049999999999999</v>
      </c>
      <c r="F51" s="4">
        <f t="shared" si="4"/>
        <v>0.23651479023007024</v>
      </c>
      <c r="G51">
        <v>1</v>
      </c>
      <c r="H51" s="4">
        <f t="shared" si="3"/>
        <v>1.1936282528839335E-2</v>
      </c>
      <c r="I51" s="4">
        <f t="shared" si="5"/>
        <v>5.643632401342474E-3</v>
      </c>
      <c r="J51" s="7"/>
      <c r="K51" s="7"/>
      <c r="L51" s="8"/>
    </row>
    <row r="52" spans="1:12" x14ac:dyDescent="0.2">
      <c r="A52" s="16" t="s">
        <v>82</v>
      </c>
      <c r="B52" s="28"/>
      <c r="C52" s="39">
        <v>0.25</v>
      </c>
      <c r="D52" s="5">
        <v>14</v>
      </c>
      <c r="E52" s="39">
        <v>9.5380000000000003</v>
      </c>
      <c r="F52" s="4">
        <f t="shared" si="4"/>
        <v>0.4097871152069773</v>
      </c>
      <c r="G52">
        <v>1</v>
      </c>
      <c r="H52" s="4">
        <f t="shared" si="3"/>
        <v>0.10896878451590727</v>
      </c>
      <c r="I52" s="4">
        <f t="shared" si="5"/>
        <v>0.4358751380636291</v>
      </c>
      <c r="J52" s="7"/>
      <c r="K52" s="7"/>
      <c r="L52" s="8"/>
    </row>
    <row r="53" spans="1:12" x14ac:dyDescent="0.2">
      <c r="A53" s="16" t="s">
        <v>83</v>
      </c>
      <c r="B53" s="28"/>
      <c r="C53" s="39">
        <v>1.5</v>
      </c>
      <c r="D53" s="5">
        <v>14</v>
      </c>
      <c r="E53" s="39">
        <v>32.503</v>
      </c>
      <c r="F53" s="4">
        <f t="shared" si="4"/>
        <v>1.3964469076926382</v>
      </c>
      <c r="G53">
        <v>1</v>
      </c>
      <c r="H53" s="4">
        <f t="shared" si="3"/>
        <v>0.66149826830787739</v>
      </c>
      <c r="I53" s="4">
        <f t="shared" si="5"/>
        <v>0.44099884553858493</v>
      </c>
      <c r="J53" s="7"/>
      <c r="K53" s="7"/>
      <c r="L53" s="8"/>
    </row>
    <row r="54" spans="1:12" x14ac:dyDescent="0.2">
      <c r="A54" s="16" t="s">
        <v>84</v>
      </c>
      <c r="B54" s="28"/>
      <c r="C54" s="39">
        <v>1.0999999999999999E-2</v>
      </c>
      <c r="D54" s="5">
        <v>14</v>
      </c>
      <c r="E54" s="39">
        <v>2.6280000000000001</v>
      </c>
      <c r="F54" s="4">
        <f t="shared" si="4"/>
        <v>0.11290842301991365</v>
      </c>
      <c r="G54">
        <v>1</v>
      </c>
      <c r="H54" s="4">
        <f t="shared" si="3"/>
        <v>-5.7283283108848358E-2</v>
      </c>
      <c r="I54" s="4">
        <f t="shared" si="5"/>
        <v>-5.2075711917134875</v>
      </c>
      <c r="J54" s="7"/>
      <c r="K54" s="7"/>
      <c r="L54" s="8"/>
    </row>
    <row r="55" spans="1:12" x14ac:dyDescent="0.2">
      <c r="A55" s="16" t="s">
        <v>85</v>
      </c>
      <c r="B55" s="28"/>
      <c r="C55" s="39">
        <v>5.0999999999999997E-2</v>
      </c>
      <c r="D55" s="5">
        <v>14</v>
      </c>
      <c r="E55" s="39">
        <v>2.8340000000000001</v>
      </c>
      <c r="F55" s="4">
        <f t="shared" si="4"/>
        <v>0.1217589310648536</v>
      </c>
      <c r="G55">
        <v>1</v>
      </c>
      <c r="H55" s="4">
        <f t="shared" si="3"/>
        <v>-5.2326998603681986E-2</v>
      </c>
      <c r="I55" s="4">
        <f t="shared" si="5"/>
        <v>-1.0260195804643528</v>
      </c>
      <c r="J55" s="7"/>
      <c r="K55" s="7"/>
      <c r="L55" s="8"/>
    </row>
    <row r="56" spans="1:12" x14ac:dyDescent="0.2">
      <c r="A56" s="16" t="s">
        <v>86</v>
      </c>
      <c r="B56" s="28"/>
      <c r="C56" s="39">
        <v>4.2999999999999997E-2</v>
      </c>
      <c r="D56" s="5">
        <v>14</v>
      </c>
      <c r="E56" s="39">
        <v>2.4980000000000002</v>
      </c>
      <c r="F56" s="4">
        <f t="shared" si="4"/>
        <v>0.10732315095271854</v>
      </c>
      <c r="G56">
        <v>1</v>
      </c>
      <c r="H56" s="4">
        <f t="shared" si="3"/>
        <v>-6.0411035466477622E-2</v>
      </c>
      <c r="I56" s="4">
        <f t="shared" si="5"/>
        <v>-1.4049078015459913</v>
      </c>
      <c r="J56" s="7"/>
      <c r="K56" s="7"/>
      <c r="L56" s="8"/>
    </row>
    <row r="57" spans="1:12" x14ac:dyDescent="0.2">
      <c r="A57" s="16" t="s">
        <v>87</v>
      </c>
      <c r="B57" s="28"/>
      <c r="C57" s="39">
        <v>0.5</v>
      </c>
      <c r="D57" s="5">
        <v>14</v>
      </c>
      <c r="E57" s="39">
        <v>39.621000000000002</v>
      </c>
      <c r="F57" s="4">
        <f t="shared" si="4"/>
        <v>1.702262035187214</v>
      </c>
      <c r="G57">
        <v>1</v>
      </c>
      <c r="H57" s="4">
        <f t="shared" ref="H57:H89" si="6">((((F57-$F$5)/$F$2)/1000)*D57)</f>
        <v>0.83275473970483971</v>
      </c>
      <c r="I57" s="4">
        <f t="shared" si="5"/>
        <v>1.6655094794096794</v>
      </c>
      <c r="J57" s="7"/>
      <c r="K57" s="7"/>
      <c r="L57" s="8"/>
    </row>
    <row r="58" spans="1:12" x14ac:dyDescent="0.2">
      <c r="A58" s="16" t="s">
        <v>88</v>
      </c>
      <c r="B58" s="28"/>
      <c r="C58" s="39">
        <v>1.5</v>
      </c>
      <c r="D58" s="5">
        <v>14</v>
      </c>
      <c r="E58" s="39">
        <v>7.343</v>
      </c>
      <c r="F58" s="4">
        <f t="shared" si="4"/>
        <v>0.31548194453395201</v>
      </c>
      <c r="G58">
        <v>1</v>
      </c>
      <c r="H58" s="4">
        <f t="shared" si="6"/>
        <v>5.6157888939013127E-2</v>
      </c>
      <c r="I58" s="4">
        <f t="shared" ref="I58:I90" si="7">((H58/C58)*G58)</f>
        <v>3.7438592626008751E-2</v>
      </c>
      <c r="J58" s="7"/>
      <c r="K58" s="7"/>
      <c r="L58" s="8"/>
    </row>
    <row r="59" spans="1:12" x14ac:dyDescent="0.2">
      <c r="A59" s="16"/>
      <c r="B59" s="28"/>
      <c r="C59" s="4"/>
      <c r="D59" s="5"/>
      <c r="E59" s="32"/>
      <c r="F59" s="4"/>
      <c r="H59" s="4"/>
      <c r="I59" s="4"/>
      <c r="J59" s="7"/>
      <c r="K59" s="7"/>
      <c r="L59" s="1"/>
    </row>
    <row r="60" spans="1:12" x14ac:dyDescent="0.2">
      <c r="A60" s="16"/>
      <c r="B60" s="28"/>
      <c r="C60" s="4"/>
      <c r="D60" s="5">
        <v>14</v>
      </c>
      <c r="E60" s="32"/>
      <c r="F60" s="4">
        <f t="shared" si="4"/>
        <v>0</v>
      </c>
      <c r="G60">
        <v>1</v>
      </c>
      <c r="H60" s="4">
        <f t="shared" si="6"/>
        <v>-0.12051199999999999</v>
      </c>
      <c r="I60" s="4" t="e">
        <f t="shared" si="7"/>
        <v>#DIV/0!</v>
      </c>
      <c r="J60" s="7" t="e">
        <f>AVERAGE(I60:I61)</f>
        <v>#DIV/0!</v>
      </c>
      <c r="K60" s="7" t="e">
        <f>STDEV(I60:I61)</f>
        <v>#DIV/0!</v>
      </c>
      <c r="L60" s="8" t="e">
        <f>K60/J60</f>
        <v>#DIV/0!</v>
      </c>
    </row>
    <row r="61" spans="1:12" x14ac:dyDescent="0.2">
      <c r="A61" s="16"/>
      <c r="B61" s="28"/>
      <c r="C61" s="4"/>
      <c r="D61" s="5">
        <v>14</v>
      </c>
      <c r="E61" s="32"/>
      <c r="F61" s="4">
        <f t="shared" si="4"/>
        <v>0</v>
      </c>
      <c r="G61">
        <v>1</v>
      </c>
      <c r="H61" s="4">
        <f t="shared" si="6"/>
        <v>-0.12051199999999999</v>
      </c>
      <c r="I61" s="4" t="e">
        <f t="shared" si="7"/>
        <v>#DIV/0!</v>
      </c>
      <c r="J61" s="7"/>
      <c r="K61" s="7"/>
      <c r="L61" s="1"/>
    </row>
    <row r="62" spans="1:12" x14ac:dyDescent="0.2">
      <c r="A62" s="16"/>
      <c r="B62" s="28"/>
      <c r="C62" s="4"/>
      <c r="D62" s="5">
        <v>14</v>
      </c>
      <c r="E62" s="32"/>
      <c r="F62" s="4">
        <f t="shared" si="4"/>
        <v>0</v>
      </c>
      <c r="G62">
        <v>1</v>
      </c>
      <c r="H62" s="4">
        <f t="shared" si="6"/>
        <v>-0.12051199999999999</v>
      </c>
      <c r="I62" s="4" t="e">
        <f t="shared" si="7"/>
        <v>#DIV/0!</v>
      </c>
      <c r="J62" s="7" t="e">
        <f>AVERAGE(I62:I63)</f>
        <v>#DIV/0!</v>
      </c>
      <c r="K62" s="7" t="e">
        <f>STDEV(I62:I63)</f>
        <v>#DIV/0!</v>
      </c>
      <c r="L62" s="8" t="e">
        <f>K62/J62</f>
        <v>#DIV/0!</v>
      </c>
    </row>
    <row r="63" spans="1:12" x14ac:dyDescent="0.2">
      <c r="A63" s="16"/>
      <c r="B63" s="28"/>
      <c r="C63" s="4"/>
      <c r="D63" s="5">
        <v>14</v>
      </c>
      <c r="E63" s="32"/>
      <c r="F63" s="4">
        <f t="shared" si="4"/>
        <v>0</v>
      </c>
      <c r="G63">
        <v>1</v>
      </c>
      <c r="H63" s="4">
        <f t="shared" si="6"/>
        <v>-0.12051199999999999</v>
      </c>
      <c r="I63" s="4" t="e">
        <f t="shared" si="7"/>
        <v>#DIV/0!</v>
      </c>
      <c r="J63" s="7"/>
      <c r="K63" s="7"/>
      <c r="L63" s="1"/>
    </row>
    <row r="64" spans="1:12" x14ac:dyDescent="0.2">
      <c r="A64" s="16"/>
      <c r="B64" s="28"/>
      <c r="C64" s="4"/>
      <c r="D64" s="5">
        <v>14</v>
      </c>
      <c r="E64" s="32"/>
      <c r="F64" s="4">
        <f t="shared" si="4"/>
        <v>0</v>
      </c>
      <c r="G64">
        <v>1</v>
      </c>
      <c r="H64" s="4">
        <f t="shared" si="6"/>
        <v>-0.12051199999999999</v>
      </c>
      <c r="I64" s="4" t="e">
        <f t="shared" si="7"/>
        <v>#DIV/0!</v>
      </c>
      <c r="J64" s="7" t="e">
        <f>AVERAGE(I64:I65)</f>
        <v>#DIV/0!</v>
      </c>
      <c r="K64" s="7" t="e">
        <f>STDEV(I64:I65)</f>
        <v>#DIV/0!</v>
      </c>
      <c r="L64" s="8" t="e">
        <f>K64/J64</f>
        <v>#DIV/0!</v>
      </c>
    </row>
    <row r="65" spans="1:12" x14ac:dyDescent="0.2">
      <c r="A65" s="16"/>
      <c r="B65" s="28"/>
      <c r="C65" s="4"/>
      <c r="D65" s="5">
        <v>14</v>
      </c>
      <c r="E65" s="32"/>
      <c r="F65" s="4">
        <f t="shared" si="4"/>
        <v>0</v>
      </c>
      <c r="G65">
        <v>1</v>
      </c>
      <c r="H65" s="4">
        <f t="shared" si="6"/>
        <v>-0.12051199999999999</v>
      </c>
      <c r="I65" s="4" t="e">
        <f t="shared" si="7"/>
        <v>#DIV/0!</v>
      </c>
      <c r="J65" s="7"/>
      <c r="K65" s="7"/>
      <c r="L65" s="1"/>
    </row>
    <row r="66" spans="1:12" x14ac:dyDescent="0.2">
      <c r="A66" s="16"/>
      <c r="B66" s="28"/>
      <c r="C66" s="4"/>
      <c r="D66" s="5">
        <v>14</v>
      </c>
      <c r="E66" s="32"/>
      <c r="F66" s="4">
        <f t="shared" si="4"/>
        <v>0</v>
      </c>
      <c r="G66">
        <v>1</v>
      </c>
      <c r="H66" s="4">
        <f t="shared" si="6"/>
        <v>-0.12051199999999999</v>
      </c>
      <c r="I66" s="4" t="e">
        <f t="shared" si="7"/>
        <v>#DIV/0!</v>
      </c>
      <c r="J66" s="7" t="e">
        <f>AVERAGE(I66:I67)</f>
        <v>#DIV/0!</v>
      </c>
      <c r="K66" s="7" t="e">
        <f>STDEV(I66:I67)</f>
        <v>#DIV/0!</v>
      </c>
      <c r="L66" s="8" t="e">
        <f>K66/J66</f>
        <v>#DIV/0!</v>
      </c>
    </row>
    <row r="67" spans="1:12" x14ac:dyDescent="0.2">
      <c r="A67" s="16"/>
      <c r="B67" s="28"/>
      <c r="C67" s="4"/>
      <c r="D67" s="5">
        <v>14</v>
      </c>
      <c r="E67" s="32"/>
      <c r="F67" s="4">
        <f t="shared" si="4"/>
        <v>0</v>
      </c>
      <c r="G67">
        <v>1</v>
      </c>
      <c r="H67" s="4">
        <f t="shared" si="6"/>
        <v>-0.12051199999999999</v>
      </c>
      <c r="I67" s="4" t="e">
        <f t="shared" si="7"/>
        <v>#DIV/0!</v>
      </c>
      <c r="J67" s="7"/>
      <c r="K67" s="7"/>
      <c r="L67" s="1"/>
    </row>
    <row r="68" spans="1:12" x14ac:dyDescent="0.2">
      <c r="A68" s="16"/>
      <c r="B68" s="28"/>
      <c r="C68" s="4"/>
      <c r="D68" s="5">
        <v>14</v>
      </c>
      <c r="E68" s="32"/>
      <c r="F68" s="4">
        <f t="shared" si="4"/>
        <v>0</v>
      </c>
      <c r="G68">
        <v>1</v>
      </c>
      <c r="H68" s="4">
        <f t="shared" si="6"/>
        <v>-0.12051199999999999</v>
      </c>
      <c r="I68" s="4" t="e">
        <f t="shared" si="7"/>
        <v>#DIV/0!</v>
      </c>
      <c r="J68" s="7" t="e">
        <f>AVERAGE(I68:I69)</f>
        <v>#DIV/0!</v>
      </c>
      <c r="K68" s="7" t="e">
        <f>STDEV(I68:I69)</f>
        <v>#DIV/0!</v>
      </c>
      <c r="L68" s="8" t="e">
        <f>K68/J68</f>
        <v>#DIV/0!</v>
      </c>
    </row>
    <row r="69" spans="1:12" x14ac:dyDescent="0.2">
      <c r="A69" s="16"/>
      <c r="B69" s="28"/>
      <c r="C69" s="4"/>
      <c r="D69" s="5">
        <v>14</v>
      </c>
      <c r="E69" s="32"/>
      <c r="F69" s="4">
        <f t="shared" si="4"/>
        <v>0</v>
      </c>
      <c r="G69">
        <v>1</v>
      </c>
      <c r="H69" s="4">
        <f t="shared" si="6"/>
        <v>-0.12051199999999999</v>
      </c>
      <c r="I69" s="4" t="e">
        <f t="shared" si="7"/>
        <v>#DIV/0!</v>
      </c>
      <c r="J69" s="7"/>
      <c r="K69" s="7"/>
      <c r="L69" s="1"/>
    </row>
    <row r="70" spans="1:12" x14ac:dyDescent="0.2">
      <c r="A70" s="16"/>
      <c r="B70" s="28"/>
      <c r="C70" s="4"/>
      <c r="D70" s="5">
        <v>14</v>
      </c>
      <c r="E70" s="32"/>
      <c r="F70" s="4">
        <f t="shared" si="4"/>
        <v>0</v>
      </c>
      <c r="G70">
        <v>1</v>
      </c>
      <c r="H70" s="4">
        <f t="shared" si="6"/>
        <v>-0.12051199999999999</v>
      </c>
      <c r="I70" s="4" t="e">
        <f t="shared" si="7"/>
        <v>#DIV/0!</v>
      </c>
      <c r="J70" s="7" t="e">
        <f>AVERAGE(I70:I71)</f>
        <v>#DIV/0!</v>
      </c>
      <c r="K70" s="7" t="e">
        <f>STDEV(I70:I71)</f>
        <v>#DIV/0!</v>
      </c>
      <c r="L70" s="8" t="e">
        <f>K70/J70</f>
        <v>#DIV/0!</v>
      </c>
    </row>
    <row r="71" spans="1:12" x14ac:dyDescent="0.2">
      <c r="A71" s="16"/>
      <c r="B71" s="28"/>
      <c r="C71" s="4"/>
      <c r="D71" s="5">
        <v>14</v>
      </c>
      <c r="E71" s="32"/>
      <c r="F71" s="4">
        <f t="shared" si="4"/>
        <v>0</v>
      </c>
      <c r="G71">
        <v>1</v>
      </c>
      <c r="H71" s="4">
        <f t="shared" si="6"/>
        <v>-0.12051199999999999</v>
      </c>
      <c r="I71" s="4" t="e">
        <f t="shared" si="7"/>
        <v>#DIV/0!</v>
      </c>
      <c r="J71" s="7"/>
      <c r="K71" s="7"/>
      <c r="L71" s="1"/>
    </row>
    <row r="72" spans="1:12" x14ac:dyDescent="0.2">
      <c r="A72" s="16"/>
      <c r="B72" s="28"/>
      <c r="C72" s="4"/>
      <c r="D72" s="5">
        <v>14</v>
      </c>
      <c r="E72" s="32"/>
      <c r="F72" s="4">
        <f t="shared" si="4"/>
        <v>0</v>
      </c>
      <c r="G72">
        <v>1</v>
      </c>
      <c r="H72" s="4">
        <f t="shared" si="6"/>
        <v>-0.12051199999999999</v>
      </c>
      <c r="I72" s="4" t="e">
        <f t="shared" si="7"/>
        <v>#DIV/0!</v>
      </c>
      <c r="J72" s="7" t="e">
        <f>AVERAGE(I72:I73)</f>
        <v>#DIV/0!</v>
      </c>
      <c r="K72" s="7" t="e">
        <f>STDEV(I72:I73)</f>
        <v>#DIV/0!</v>
      </c>
      <c r="L72" s="8" t="e">
        <f>K72/J72</f>
        <v>#DIV/0!</v>
      </c>
    </row>
    <row r="73" spans="1:12" x14ac:dyDescent="0.2">
      <c r="A73" s="16"/>
      <c r="B73" s="28"/>
      <c r="C73" s="4"/>
      <c r="D73" s="5">
        <v>14</v>
      </c>
      <c r="E73" s="32"/>
      <c r="F73" s="4">
        <f t="shared" si="4"/>
        <v>0</v>
      </c>
      <c r="G73">
        <v>1</v>
      </c>
      <c r="H73" s="4">
        <f t="shared" si="6"/>
        <v>-0.12051199999999999</v>
      </c>
      <c r="I73" s="4" t="e">
        <f t="shared" si="7"/>
        <v>#DIV/0!</v>
      </c>
      <c r="J73" s="7"/>
      <c r="K73" s="7"/>
      <c r="L73" s="1"/>
    </row>
    <row r="74" spans="1:12" x14ac:dyDescent="0.2">
      <c r="A74" s="16"/>
      <c r="B74" s="28"/>
      <c r="C74" s="4"/>
      <c r="D74" s="5">
        <v>14</v>
      </c>
      <c r="E74" s="32"/>
      <c r="F74" s="4">
        <f t="shared" si="4"/>
        <v>0</v>
      </c>
      <c r="G74">
        <v>1</v>
      </c>
      <c r="H74" s="4">
        <f t="shared" si="6"/>
        <v>-0.12051199999999999</v>
      </c>
      <c r="I74" s="4" t="e">
        <f t="shared" si="7"/>
        <v>#DIV/0!</v>
      </c>
      <c r="J74" s="7" t="e">
        <f>AVERAGE(I74:I75)</f>
        <v>#DIV/0!</v>
      </c>
      <c r="K74" s="7" t="e">
        <f>STDEV(I74:I75)</f>
        <v>#DIV/0!</v>
      </c>
      <c r="L74" s="8" t="e">
        <f>K74/J74</f>
        <v>#DIV/0!</v>
      </c>
    </row>
    <row r="75" spans="1:12" x14ac:dyDescent="0.2">
      <c r="A75" s="16"/>
      <c r="B75" s="28"/>
      <c r="C75" s="4"/>
      <c r="D75" s="5">
        <v>14</v>
      </c>
      <c r="E75" s="32"/>
      <c r="F75" s="4">
        <f t="shared" si="4"/>
        <v>0</v>
      </c>
      <c r="G75">
        <v>1</v>
      </c>
      <c r="H75" s="4">
        <f t="shared" si="6"/>
        <v>-0.12051199999999999</v>
      </c>
      <c r="I75" s="4" t="e">
        <f t="shared" si="7"/>
        <v>#DIV/0!</v>
      </c>
      <c r="J75" s="7"/>
      <c r="K75" s="7"/>
      <c r="L75" s="1"/>
    </row>
    <row r="76" spans="1:12" x14ac:dyDescent="0.2">
      <c r="A76" s="16"/>
      <c r="B76" s="28"/>
      <c r="C76" s="4"/>
      <c r="D76" s="5">
        <v>14</v>
      </c>
      <c r="E76" s="32"/>
      <c r="F76" s="4">
        <f t="shared" si="4"/>
        <v>0</v>
      </c>
      <c r="G76">
        <v>1</v>
      </c>
      <c r="H76" s="4">
        <f t="shared" si="6"/>
        <v>-0.12051199999999999</v>
      </c>
      <c r="I76" s="4" t="e">
        <f t="shared" si="7"/>
        <v>#DIV/0!</v>
      </c>
      <c r="J76" s="7" t="e">
        <f>AVERAGE(I76:I77)</f>
        <v>#DIV/0!</v>
      </c>
      <c r="K76" s="7" t="e">
        <f>STDEV(I76:I77)</f>
        <v>#DIV/0!</v>
      </c>
      <c r="L76" s="8" t="e">
        <f>K76/J76</f>
        <v>#DIV/0!</v>
      </c>
    </row>
    <row r="77" spans="1:12" x14ac:dyDescent="0.2">
      <c r="A77" s="16"/>
      <c r="B77" s="28"/>
      <c r="C77" s="4"/>
      <c r="D77" s="5">
        <v>14</v>
      </c>
      <c r="E77" s="32"/>
      <c r="F77" s="4">
        <f t="shared" si="4"/>
        <v>0</v>
      </c>
      <c r="G77">
        <v>1</v>
      </c>
      <c r="H77" s="4">
        <f t="shared" si="6"/>
        <v>-0.12051199999999999</v>
      </c>
      <c r="I77" s="4" t="e">
        <f t="shared" si="7"/>
        <v>#DIV/0!</v>
      </c>
      <c r="J77" s="7"/>
      <c r="K77" s="7"/>
      <c r="L77" s="1"/>
    </row>
    <row r="78" spans="1:12" x14ac:dyDescent="0.2">
      <c r="A78" s="16"/>
      <c r="B78" s="28"/>
      <c r="C78" s="4"/>
      <c r="D78" s="5">
        <v>14</v>
      </c>
      <c r="E78" s="32"/>
      <c r="F78" s="4">
        <f t="shared" si="4"/>
        <v>0</v>
      </c>
      <c r="G78">
        <v>1</v>
      </c>
      <c r="H78" s="4">
        <f t="shared" si="6"/>
        <v>-0.12051199999999999</v>
      </c>
      <c r="I78" s="4" t="e">
        <f t="shared" si="7"/>
        <v>#DIV/0!</v>
      </c>
      <c r="J78" s="7" t="e">
        <f>AVERAGE(I78:I79)</f>
        <v>#DIV/0!</v>
      </c>
      <c r="K78" s="7" t="e">
        <f>STDEV(I78:I79)</f>
        <v>#DIV/0!</v>
      </c>
      <c r="L78" s="8" t="e">
        <f>K78/J78</f>
        <v>#DIV/0!</v>
      </c>
    </row>
    <row r="79" spans="1:12" x14ac:dyDescent="0.2">
      <c r="A79" s="16"/>
      <c r="B79" s="28"/>
      <c r="C79" s="4"/>
      <c r="D79" s="5">
        <v>14</v>
      </c>
      <c r="E79" s="32"/>
      <c r="F79" s="4">
        <f t="shared" si="4"/>
        <v>0</v>
      </c>
      <c r="G79">
        <v>1</v>
      </c>
      <c r="H79" s="4">
        <f t="shared" si="6"/>
        <v>-0.12051199999999999</v>
      </c>
      <c r="I79" s="4" t="e">
        <f t="shared" si="7"/>
        <v>#DIV/0!</v>
      </c>
      <c r="J79" s="7"/>
      <c r="K79" s="7"/>
      <c r="L79" s="1"/>
    </row>
    <row r="80" spans="1:12" x14ac:dyDescent="0.2">
      <c r="A80" s="16"/>
      <c r="B80" s="28"/>
      <c r="C80" s="4"/>
      <c r="D80" s="5">
        <v>14</v>
      </c>
      <c r="E80" s="32"/>
      <c r="F80" s="4">
        <f t="shared" si="4"/>
        <v>0</v>
      </c>
      <c r="G80">
        <v>1</v>
      </c>
      <c r="H80" s="4">
        <f t="shared" si="6"/>
        <v>-0.12051199999999999</v>
      </c>
      <c r="I80" s="4" t="e">
        <f t="shared" si="7"/>
        <v>#DIV/0!</v>
      </c>
      <c r="J80" s="7" t="e">
        <f>AVERAGE(I80:I81)</f>
        <v>#DIV/0!</v>
      </c>
      <c r="K80" s="7" t="e">
        <f>STDEV(I80:I81)</f>
        <v>#DIV/0!</v>
      </c>
      <c r="L80" s="8" t="e">
        <f>K80/J80</f>
        <v>#DIV/0!</v>
      </c>
    </row>
    <row r="81" spans="1:12" x14ac:dyDescent="0.2">
      <c r="A81" s="16"/>
      <c r="B81" s="28"/>
      <c r="C81" s="4"/>
      <c r="D81" s="5">
        <v>14</v>
      </c>
      <c r="E81" s="32"/>
      <c r="F81" s="4">
        <f t="shared" si="4"/>
        <v>0</v>
      </c>
      <c r="G81">
        <v>1</v>
      </c>
      <c r="H81" s="4">
        <f t="shared" si="6"/>
        <v>-0.12051199999999999</v>
      </c>
      <c r="I81" s="4" t="e">
        <f t="shared" si="7"/>
        <v>#DIV/0!</v>
      </c>
      <c r="J81" s="7"/>
      <c r="K81" s="7"/>
      <c r="L81" s="1"/>
    </row>
    <row r="82" spans="1:12" x14ac:dyDescent="0.2">
      <c r="A82" s="16"/>
      <c r="B82" s="28"/>
      <c r="C82" s="4"/>
      <c r="D82" s="5">
        <v>14</v>
      </c>
      <c r="E82" s="32"/>
      <c r="F82" s="4">
        <f t="shared" ref="F82:F115" si="8">E82/$M$2</f>
        <v>0</v>
      </c>
      <c r="G82">
        <v>1</v>
      </c>
      <c r="H82" s="4">
        <f t="shared" si="6"/>
        <v>-0.12051199999999999</v>
      </c>
      <c r="I82" s="4" t="e">
        <f t="shared" si="7"/>
        <v>#DIV/0!</v>
      </c>
      <c r="J82" s="7" t="e">
        <f>AVERAGE(I82:I83)</f>
        <v>#DIV/0!</v>
      </c>
      <c r="K82" s="7" t="e">
        <f>STDEV(I82:I83)</f>
        <v>#DIV/0!</v>
      </c>
      <c r="L82" s="8" t="e">
        <f>K82/J82</f>
        <v>#DIV/0!</v>
      </c>
    </row>
    <row r="83" spans="1:12" x14ac:dyDescent="0.2">
      <c r="A83" s="16"/>
      <c r="B83" s="28"/>
      <c r="C83" s="4"/>
      <c r="D83" s="5">
        <v>14</v>
      </c>
      <c r="E83" s="32"/>
      <c r="F83" s="4">
        <f t="shared" si="8"/>
        <v>0</v>
      </c>
      <c r="G83">
        <v>1</v>
      </c>
      <c r="H83" s="4">
        <f t="shared" si="6"/>
        <v>-0.12051199999999999</v>
      </c>
      <c r="I83" s="4" t="e">
        <f t="shared" si="7"/>
        <v>#DIV/0!</v>
      </c>
      <c r="J83" s="7"/>
      <c r="K83" s="7"/>
      <c r="L83" s="1"/>
    </row>
    <row r="84" spans="1:12" x14ac:dyDescent="0.2">
      <c r="A84" s="16"/>
      <c r="B84" s="28"/>
      <c r="C84" s="4"/>
      <c r="D84" s="5">
        <v>14</v>
      </c>
      <c r="E84" s="32"/>
      <c r="F84" s="4">
        <f t="shared" si="8"/>
        <v>0</v>
      </c>
      <c r="G84">
        <v>1</v>
      </c>
      <c r="H84" s="4">
        <f t="shared" si="6"/>
        <v>-0.12051199999999999</v>
      </c>
      <c r="I84" s="4" t="e">
        <f t="shared" si="7"/>
        <v>#DIV/0!</v>
      </c>
      <c r="J84" s="7" t="e">
        <f>AVERAGE(I84:I85)</f>
        <v>#DIV/0!</v>
      </c>
      <c r="K84" s="7" t="e">
        <f>STDEV(I84:I85)</f>
        <v>#DIV/0!</v>
      </c>
      <c r="L84" s="8" t="e">
        <f>K84/J84</f>
        <v>#DIV/0!</v>
      </c>
    </row>
    <row r="85" spans="1:12" x14ac:dyDescent="0.2">
      <c r="A85" s="16"/>
      <c r="B85" s="28"/>
      <c r="C85" s="4"/>
      <c r="D85" s="5">
        <v>14</v>
      </c>
      <c r="E85" s="32"/>
      <c r="F85" s="4">
        <f t="shared" si="8"/>
        <v>0</v>
      </c>
      <c r="G85">
        <v>1</v>
      </c>
      <c r="H85" s="4">
        <f t="shared" si="6"/>
        <v>-0.12051199999999999</v>
      </c>
      <c r="I85" s="4" t="e">
        <f t="shared" si="7"/>
        <v>#DIV/0!</v>
      </c>
      <c r="J85" s="7"/>
      <c r="K85" s="7"/>
      <c r="L85" s="1"/>
    </row>
    <row r="86" spans="1:12" x14ac:dyDescent="0.2">
      <c r="A86" s="16"/>
      <c r="B86" s="28"/>
      <c r="C86" s="4"/>
      <c r="D86" s="5">
        <v>14</v>
      </c>
      <c r="E86" s="32"/>
      <c r="F86" s="4">
        <f t="shared" si="8"/>
        <v>0</v>
      </c>
      <c r="G86">
        <v>1</v>
      </c>
      <c r="H86" s="4">
        <f t="shared" si="6"/>
        <v>-0.12051199999999999</v>
      </c>
      <c r="I86" s="4" t="e">
        <f t="shared" si="7"/>
        <v>#DIV/0!</v>
      </c>
      <c r="J86" s="7" t="e">
        <f>AVERAGE(I86:I87)</f>
        <v>#DIV/0!</v>
      </c>
      <c r="K86" s="7" t="e">
        <f>STDEV(I86:I87)</f>
        <v>#DIV/0!</v>
      </c>
      <c r="L86" s="8" t="e">
        <f>K86/J86</f>
        <v>#DIV/0!</v>
      </c>
    </row>
    <row r="87" spans="1:12" x14ac:dyDescent="0.2">
      <c r="A87" s="16"/>
      <c r="B87" s="28"/>
      <c r="C87" s="4"/>
      <c r="D87" s="5">
        <v>14</v>
      </c>
      <c r="E87" s="32"/>
      <c r="F87" s="4">
        <f t="shared" si="8"/>
        <v>0</v>
      </c>
      <c r="G87">
        <v>1</v>
      </c>
      <c r="H87" s="4">
        <f t="shared" si="6"/>
        <v>-0.12051199999999999</v>
      </c>
      <c r="I87" s="4" t="e">
        <f t="shared" si="7"/>
        <v>#DIV/0!</v>
      </c>
      <c r="J87" s="7"/>
      <c r="K87" s="7"/>
      <c r="L87" s="1"/>
    </row>
    <row r="88" spans="1:12" x14ac:dyDescent="0.2">
      <c r="A88" s="16"/>
      <c r="B88" s="28"/>
      <c r="C88" s="4"/>
      <c r="D88" s="5">
        <v>14</v>
      </c>
      <c r="E88" s="32"/>
      <c r="F88" s="4">
        <f t="shared" si="8"/>
        <v>0</v>
      </c>
      <c r="G88">
        <v>1</v>
      </c>
      <c r="H88" s="4">
        <f t="shared" si="6"/>
        <v>-0.12051199999999999</v>
      </c>
      <c r="I88" s="4" t="e">
        <f t="shared" si="7"/>
        <v>#DIV/0!</v>
      </c>
      <c r="J88" s="7" t="e">
        <f>AVERAGE(I88:I89)</f>
        <v>#DIV/0!</v>
      </c>
      <c r="K88" s="7" t="e">
        <f>STDEV(I88:I89)</f>
        <v>#DIV/0!</v>
      </c>
      <c r="L88" s="8" t="e">
        <f>K88/J88</f>
        <v>#DIV/0!</v>
      </c>
    </row>
    <row r="89" spans="1:12" x14ac:dyDescent="0.2">
      <c r="A89" s="16"/>
      <c r="B89" s="28"/>
      <c r="C89" s="4"/>
      <c r="D89" s="5">
        <v>14</v>
      </c>
      <c r="E89" s="32"/>
      <c r="F89" s="4">
        <f t="shared" si="8"/>
        <v>0</v>
      </c>
      <c r="G89">
        <v>1</v>
      </c>
      <c r="H89" s="4">
        <f t="shared" si="6"/>
        <v>-0.12051199999999999</v>
      </c>
      <c r="I89" s="4" t="e">
        <f t="shared" si="7"/>
        <v>#DIV/0!</v>
      </c>
      <c r="J89" s="7"/>
      <c r="K89" s="7"/>
      <c r="L89" s="1"/>
    </row>
    <row r="90" spans="1:12" x14ac:dyDescent="0.2">
      <c r="A90" s="16"/>
      <c r="B90" s="28"/>
      <c r="C90" s="4"/>
      <c r="D90" s="5">
        <v>14</v>
      </c>
      <c r="E90" s="32"/>
      <c r="F90" s="4">
        <f t="shared" si="8"/>
        <v>0</v>
      </c>
      <c r="G90">
        <v>1</v>
      </c>
      <c r="H90" s="4">
        <f t="shared" ref="H90:H115" si="9">((((F90-$F$5)/$F$2)/1000)*D90)</f>
        <v>-0.12051199999999999</v>
      </c>
      <c r="I90" s="4" t="e">
        <f t="shared" si="7"/>
        <v>#DIV/0!</v>
      </c>
      <c r="J90" s="7" t="e">
        <f>AVERAGE(I90:I91)</f>
        <v>#DIV/0!</v>
      </c>
      <c r="K90" s="7" t="e">
        <f>STDEV(I90:I91)</f>
        <v>#DIV/0!</v>
      </c>
      <c r="L90" s="8" t="e">
        <f>K90/J90</f>
        <v>#DIV/0!</v>
      </c>
    </row>
    <row r="91" spans="1:12" x14ac:dyDescent="0.2">
      <c r="A91" s="16"/>
      <c r="B91" s="28"/>
      <c r="C91" s="4"/>
      <c r="D91" s="5">
        <v>14</v>
      </c>
      <c r="E91" s="32"/>
      <c r="F91" s="4">
        <f t="shared" si="8"/>
        <v>0</v>
      </c>
      <c r="G91">
        <v>1</v>
      </c>
      <c r="H91" s="4">
        <f t="shared" si="9"/>
        <v>-0.12051199999999999</v>
      </c>
      <c r="I91" s="4" t="e">
        <f t="shared" ref="I91:I115" si="10">((H91/C91)*G91)</f>
        <v>#DIV/0!</v>
      </c>
      <c r="J91" s="7"/>
      <c r="K91" s="7"/>
      <c r="L91" s="1"/>
    </row>
    <row r="92" spans="1:12" x14ac:dyDescent="0.2">
      <c r="A92" s="16"/>
      <c r="B92" s="28"/>
      <c r="C92" s="4"/>
      <c r="D92" s="5">
        <v>14</v>
      </c>
      <c r="E92" s="32"/>
      <c r="F92" s="4">
        <f t="shared" si="8"/>
        <v>0</v>
      </c>
      <c r="G92">
        <v>1</v>
      </c>
      <c r="H92" s="4">
        <f t="shared" si="9"/>
        <v>-0.12051199999999999</v>
      </c>
      <c r="I92" s="4" t="e">
        <f t="shared" si="10"/>
        <v>#DIV/0!</v>
      </c>
      <c r="J92" s="7" t="e">
        <f>AVERAGE(I92:I93)</f>
        <v>#DIV/0!</v>
      </c>
      <c r="K92" s="7" t="e">
        <f>STDEV(I92:I93)</f>
        <v>#DIV/0!</v>
      </c>
      <c r="L92" s="8" t="e">
        <f>K92/J92</f>
        <v>#DIV/0!</v>
      </c>
    </row>
    <row r="93" spans="1:12" x14ac:dyDescent="0.2">
      <c r="A93" s="16"/>
      <c r="B93" s="28"/>
      <c r="C93" s="4"/>
      <c r="D93" s="5">
        <v>14</v>
      </c>
      <c r="E93" s="32"/>
      <c r="F93" s="4">
        <f t="shared" si="8"/>
        <v>0</v>
      </c>
      <c r="G93">
        <v>1</v>
      </c>
      <c r="H93" s="4">
        <f t="shared" si="9"/>
        <v>-0.12051199999999999</v>
      </c>
      <c r="I93" s="4" t="e">
        <f t="shared" si="10"/>
        <v>#DIV/0!</v>
      </c>
      <c r="J93" s="7"/>
      <c r="K93" s="7"/>
      <c r="L93" s="1"/>
    </row>
    <row r="94" spans="1:12" x14ac:dyDescent="0.2">
      <c r="A94" s="16"/>
      <c r="B94" s="28"/>
      <c r="C94" s="4"/>
      <c r="D94" s="5">
        <v>14</v>
      </c>
      <c r="E94" s="32"/>
      <c r="F94" s="4">
        <f t="shared" si="8"/>
        <v>0</v>
      </c>
      <c r="G94">
        <v>1</v>
      </c>
      <c r="H94" s="4">
        <f t="shared" si="9"/>
        <v>-0.12051199999999999</v>
      </c>
      <c r="I94" s="4" t="e">
        <f t="shared" si="10"/>
        <v>#DIV/0!</v>
      </c>
      <c r="J94" s="7" t="e">
        <f>AVERAGE(I94:I95)</f>
        <v>#DIV/0!</v>
      </c>
      <c r="K94" s="7" t="e">
        <f>STDEV(I94:I95)</f>
        <v>#DIV/0!</v>
      </c>
      <c r="L94" s="8" t="e">
        <f>K94/J94</f>
        <v>#DIV/0!</v>
      </c>
    </row>
    <row r="95" spans="1:12" x14ac:dyDescent="0.2">
      <c r="A95" s="16"/>
      <c r="B95" s="28"/>
      <c r="C95" s="4"/>
      <c r="D95" s="5">
        <v>14</v>
      </c>
      <c r="E95" s="32"/>
      <c r="F95" s="4">
        <f t="shared" si="8"/>
        <v>0</v>
      </c>
      <c r="G95">
        <v>1</v>
      </c>
      <c r="H95" s="4">
        <f t="shared" si="9"/>
        <v>-0.12051199999999999</v>
      </c>
      <c r="I95" s="4" t="e">
        <f t="shared" si="10"/>
        <v>#DIV/0!</v>
      </c>
      <c r="J95" s="7"/>
      <c r="K95" s="7"/>
      <c r="L95" s="1"/>
    </row>
    <row r="96" spans="1:12" x14ac:dyDescent="0.2">
      <c r="A96" s="16"/>
      <c r="B96" s="28"/>
      <c r="C96" s="4"/>
      <c r="D96" s="5">
        <v>14</v>
      </c>
      <c r="E96" s="32"/>
      <c r="F96" s="4">
        <f t="shared" si="8"/>
        <v>0</v>
      </c>
      <c r="G96">
        <v>1</v>
      </c>
      <c r="H96" s="4">
        <f t="shared" si="9"/>
        <v>-0.12051199999999999</v>
      </c>
      <c r="I96" s="4" t="e">
        <f t="shared" si="10"/>
        <v>#DIV/0!</v>
      </c>
      <c r="J96" s="7" t="e">
        <f>AVERAGE(I96:I97)</f>
        <v>#DIV/0!</v>
      </c>
      <c r="K96" s="7" t="e">
        <f>STDEV(I96:I97)</f>
        <v>#DIV/0!</v>
      </c>
      <c r="L96" s="8" t="e">
        <f>K96/J96</f>
        <v>#DIV/0!</v>
      </c>
    </row>
    <row r="97" spans="1:12" x14ac:dyDescent="0.2">
      <c r="A97" s="16"/>
      <c r="B97" s="28"/>
      <c r="C97" s="4"/>
      <c r="D97" s="5">
        <v>14</v>
      </c>
      <c r="E97" s="32"/>
      <c r="F97" s="4">
        <f t="shared" si="8"/>
        <v>0</v>
      </c>
      <c r="G97">
        <v>1</v>
      </c>
      <c r="H97" s="4">
        <f t="shared" si="9"/>
        <v>-0.12051199999999999</v>
      </c>
      <c r="I97" s="4" t="e">
        <f t="shared" si="10"/>
        <v>#DIV/0!</v>
      </c>
      <c r="J97" s="7"/>
      <c r="K97" s="7"/>
      <c r="L97" s="1"/>
    </row>
    <row r="98" spans="1:12" x14ac:dyDescent="0.2">
      <c r="A98" s="16"/>
      <c r="B98" s="28"/>
      <c r="C98" s="4"/>
      <c r="D98" s="5">
        <v>14</v>
      </c>
      <c r="E98" s="32"/>
      <c r="F98" s="4">
        <f t="shared" si="8"/>
        <v>0</v>
      </c>
      <c r="G98">
        <v>1</v>
      </c>
      <c r="H98" s="4">
        <f t="shared" si="9"/>
        <v>-0.12051199999999999</v>
      </c>
      <c r="I98" s="4" t="e">
        <f t="shared" si="10"/>
        <v>#DIV/0!</v>
      </c>
      <c r="J98" s="7" t="e">
        <f>AVERAGE(I98:I99)</f>
        <v>#DIV/0!</v>
      </c>
      <c r="K98" s="7" t="e">
        <f>STDEV(I98:I99)</f>
        <v>#DIV/0!</v>
      </c>
      <c r="L98" s="8" t="e">
        <f>K98/J98</f>
        <v>#DIV/0!</v>
      </c>
    </row>
    <row r="99" spans="1:12" x14ac:dyDescent="0.2">
      <c r="A99" s="16"/>
      <c r="B99" s="28"/>
      <c r="C99" s="4"/>
      <c r="D99" s="5">
        <v>14</v>
      </c>
      <c r="E99" s="32"/>
      <c r="F99" s="4">
        <f t="shared" si="8"/>
        <v>0</v>
      </c>
      <c r="G99">
        <v>1</v>
      </c>
      <c r="H99" s="4">
        <f t="shared" si="9"/>
        <v>-0.12051199999999999</v>
      </c>
      <c r="I99" s="4" t="e">
        <f t="shared" si="10"/>
        <v>#DIV/0!</v>
      </c>
      <c r="J99" s="7"/>
      <c r="K99" s="7"/>
      <c r="L99" s="1"/>
    </row>
    <row r="100" spans="1:12" x14ac:dyDescent="0.2">
      <c r="A100" s="16"/>
      <c r="B100" s="28"/>
      <c r="C100" s="4"/>
      <c r="D100" s="5">
        <v>14</v>
      </c>
      <c r="E100" s="32"/>
      <c r="F100" s="4">
        <f t="shared" si="8"/>
        <v>0</v>
      </c>
      <c r="G100">
        <v>1</v>
      </c>
      <c r="H100" s="4">
        <f t="shared" si="9"/>
        <v>-0.12051199999999999</v>
      </c>
      <c r="I100" s="4" t="e">
        <f t="shared" si="10"/>
        <v>#DIV/0!</v>
      </c>
      <c r="J100" s="7" t="e">
        <f>AVERAGE(I100:I101)</f>
        <v>#DIV/0!</v>
      </c>
      <c r="K100" s="7" t="e">
        <f>STDEV(I100:I101)</f>
        <v>#DIV/0!</v>
      </c>
      <c r="L100" s="8" t="e">
        <f>K100/J100</f>
        <v>#DIV/0!</v>
      </c>
    </row>
    <row r="101" spans="1:12" x14ac:dyDescent="0.2">
      <c r="A101" s="16"/>
      <c r="B101" s="28"/>
      <c r="C101" s="4"/>
      <c r="D101" s="5">
        <v>14</v>
      </c>
      <c r="E101" s="32"/>
      <c r="F101" s="4">
        <f t="shared" si="8"/>
        <v>0</v>
      </c>
      <c r="G101">
        <v>1</v>
      </c>
      <c r="H101" s="4">
        <f t="shared" si="9"/>
        <v>-0.12051199999999999</v>
      </c>
      <c r="I101" s="4" t="e">
        <f t="shared" si="10"/>
        <v>#DIV/0!</v>
      </c>
      <c r="J101" s="7"/>
      <c r="K101" s="7"/>
      <c r="L101" s="1"/>
    </row>
    <row r="102" spans="1:12" x14ac:dyDescent="0.2">
      <c r="A102" s="16"/>
      <c r="B102" s="28"/>
      <c r="C102" s="4"/>
      <c r="D102" s="5">
        <v>14</v>
      </c>
      <c r="E102" s="32"/>
      <c r="F102" s="4">
        <f t="shared" si="8"/>
        <v>0</v>
      </c>
      <c r="G102">
        <v>1</v>
      </c>
      <c r="H102" s="4">
        <f t="shared" si="9"/>
        <v>-0.12051199999999999</v>
      </c>
      <c r="I102" s="4" t="e">
        <f t="shared" si="10"/>
        <v>#DIV/0!</v>
      </c>
      <c r="J102" s="7" t="e">
        <f>AVERAGE(I102:I103)</f>
        <v>#DIV/0!</v>
      </c>
      <c r="K102" s="7" t="e">
        <f>STDEV(I102:I103)</f>
        <v>#DIV/0!</v>
      </c>
      <c r="L102" s="8" t="e">
        <f>K102/J102</f>
        <v>#DIV/0!</v>
      </c>
    </row>
    <row r="103" spans="1:12" x14ac:dyDescent="0.2">
      <c r="A103" s="16"/>
      <c r="B103" s="28"/>
      <c r="C103" s="4"/>
      <c r="D103" s="5">
        <v>14</v>
      </c>
      <c r="E103" s="32"/>
      <c r="F103" s="4">
        <f t="shared" si="8"/>
        <v>0</v>
      </c>
      <c r="G103">
        <v>1</v>
      </c>
      <c r="H103" s="4">
        <f t="shared" si="9"/>
        <v>-0.12051199999999999</v>
      </c>
      <c r="I103" s="4" t="e">
        <f t="shared" si="10"/>
        <v>#DIV/0!</v>
      </c>
      <c r="J103" s="7"/>
      <c r="K103" s="7"/>
      <c r="L103" s="1"/>
    </row>
    <row r="104" spans="1:12" x14ac:dyDescent="0.2">
      <c r="A104" s="16"/>
      <c r="B104" s="28"/>
      <c r="C104" s="4"/>
      <c r="D104" s="5">
        <v>14</v>
      </c>
      <c r="E104" s="32"/>
      <c r="F104" s="4">
        <f t="shared" si="8"/>
        <v>0</v>
      </c>
      <c r="G104">
        <v>1</v>
      </c>
      <c r="H104" s="4">
        <f t="shared" si="9"/>
        <v>-0.12051199999999999</v>
      </c>
      <c r="I104" s="4" t="e">
        <f t="shared" si="10"/>
        <v>#DIV/0!</v>
      </c>
      <c r="J104" s="7" t="e">
        <f>AVERAGE(I104:I105)</f>
        <v>#DIV/0!</v>
      </c>
      <c r="K104" s="7" t="e">
        <f>STDEV(I104:I105)</f>
        <v>#DIV/0!</v>
      </c>
      <c r="L104" s="8" t="e">
        <f>K104/J104</f>
        <v>#DIV/0!</v>
      </c>
    </row>
    <row r="105" spans="1:12" x14ac:dyDescent="0.2">
      <c r="A105" s="16"/>
      <c r="B105" s="28"/>
      <c r="C105" s="4"/>
      <c r="D105" s="5">
        <v>14</v>
      </c>
      <c r="E105" s="32"/>
      <c r="F105" s="4">
        <f t="shared" si="8"/>
        <v>0</v>
      </c>
      <c r="G105">
        <v>1</v>
      </c>
      <c r="H105" s="4">
        <f t="shared" si="9"/>
        <v>-0.12051199999999999</v>
      </c>
      <c r="I105" s="4" t="e">
        <f t="shared" si="10"/>
        <v>#DIV/0!</v>
      </c>
      <c r="J105" s="7"/>
      <c r="K105" s="7"/>
      <c r="L105" s="1"/>
    </row>
    <row r="106" spans="1:12" x14ac:dyDescent="0.2">
      <c r="A106" s="16"/>
      <c r="B106" s="28"/>
      <c r="C106" s="4"/>
      <c r="D106" s="5">
        <v>14</v>
      </c>
      <c r="E106" s="32"/>
      <c r="F106" s="4">
        <f t="shared" si="8"/>
        <v>0</v>
      </c>
      <c r="G106">
        <v>1</v>
      </c>
      <c r="H106" s="4">
        <f t="shared" si="9"/>
        <v>-0.12051199999999999</v>
      </c>
      <c r="I106" s="4" t="e">
        <f t="shared" si="10"/>
        <v>#DIV/0!</v>
      </c>
      <c r="J106" s="7" t="e">
        <f>AVERAGE(I106:I107)</f>
        <v>#DIV/0!</v>
      </c>
      <c r="K106" s="7" t="e">
        <f>STDEV(I106:I107)</f>
        <v>#DIV/0!</v>
      </c>
      <c r="L106" s="8" t="e">
        <f>K106/J106</f>
        <v>#DIV/0!</v>
      </c>
    </row>
    <row r="107" spans="1:12" x14ac:dyDescent="0.2">
      <c r="A107" s="16"/>
      <c r="B107" s="28"/>
      <c r="C107" s="4"/>
      <c r="D107" s="5">
        <v>14</v>
      </c>
      <c r="E107" s="32"/>
      <c r="F107" s="4">
        <f t="shared" si="8"/>
        <v>0</v>
      </c>
      <c r="G107">
        <v>1</v>
      </c>
      <c r="H107" s="4">
        <f t="shared" si="9"/>
        <v>-0.12051199999999999</v>
      </c>
      <c r="I107" s="4" t="e">
        <f t="shared" si="10"/>
        <v>#DIV/0!</v>
      </c>
      <c r="J107" s="7"/>
      <c r="K107" s="7"/>
      <c r="L107" s="1"/>
    </row>
    <row r="108" spans="1:12" x14ac:dyDescent="0.2">
      <c r="A108" s="16"/>
      <c r="B108" s="28"/>
      <c r="C108" s="4"/>
      <c r="D108" s="5">
        <v>14</v>
      </c>
      <c r="E108" s="32"/>
      <c r="F108" s="4">
        <f t="shared" si="8"/>
        <v>0</v>
      </c>
      <c r="G108">
        <v>1</v>
      </c>
      <c r="H108" s="4">
        <f t="shared" si="9"/>
        <v>-0.12051199999999999</v>
      </c>
      <c r="I108" s="4" t="e">
        <f t="shared" si="10"/>
        <v>#DIV/0!</v>
      </c>
      <c r="J108" s="7" t="e">
        <f>AVERAGE(I108:I109)</f>
        <v>#DIV/0!</v>
      </c>
      <c r="K108" s="7" t="e">
        <f>STDEV(I108:I109)</f>
        <v>#DIV/0!</v>
      </c>
      <c r="L108" s="8" t="e">
        <f>K108/J108</f>
        <v>#DIV/0!</v>
      </c>
    </row>
    <row r="109" spans="1:12" x14ac:dyDescent="0.2">
      <c r="A109" s="16"/>
      <c r="B109" s="28"/>
      <c r="C109" s="4"/>
      <c r="D109" s="5">
        <v>14</v>
      </c>
      <c r="E109" s="32"/>
      <c r="F109" s="4">
        <f t="shared" si="8"/>
        <v>0</v>
      </c>
      <c r="G109">
        <v>1</v>
      </c>
      <c r="H109" s="4">
        <f t="shared" si="9"/>
        <v>-0.12051199999999999</v>
      </c>
      <c r="I109" s="4" t="e">
        <f t="shared" si="10"/>
        <v>#DIV/0!</v>
      </c>
      <c r="J109" s="7"/>
      <c r="K109" s="7"/>
      <c r="L109" s="1"/>
    </row>
    <row r="110" spans="1:12" x14ac:dyDescent="0.2">
      <c r="A110" s="16"/>
      <c r="B110" s="28"/>
      <c r="C110" s="4"/>
      <c r="D110" s="5">
        <v>14</v>
      </c>
      <c r="E110" s="32"/>
      <c r="F110" s="4">
        <f t="shared" si="8"/>
        <v>0</v>
      </c>
      <c r="G110">
        <v>3</v>
      </c>
      <c r="H110" s="4">
        <f t="shared" si="9"/>
        <v>-0.12051199999999999</v>
      </c>
      <c r="I110" s="4" t="e">
        <f t="shared" si="10"/>
        <v>#DIV/0!</v>
      </c>
      <c r="J110" s="7" t="e">
        <f>AVERAGE(I110:I111)</f>
        <v>#DIV/0!</v>
      </c>
      <c r="K110" s="7" t="e">
        <f>STDEV(I110:I111)</f>
        <v>#DIV/0!</v>
      </c>
      <c r="L110" s="8" t="e">
        <f>K110/J110</f>
        <v>#DIV/0!</v>
      </c>
    </row>
    <row r="111" spans="1:12" x14ac:dyDescent="0.2">
      <c r="A111" s="16"/>
      <c r="B111" s="28"/>
      <c r="C111" s="4"/>
      <c r="D111" s="5">
        <v>14</v>
      </c>
      <c r="E111" s="32"/>
      <c r="F111" s="4">
        <f t="shared" si="8"/>
        <v>0</v>
      </c>
      <c r="G111">
        <v>1</v>
      </c>
      <c r="H111" s="4">
        <f t="shared" si="9"/>
        <v>-0.12051199999999999</v>
      </c>
      <c r="I111" s="4" t="e">
        <f t="shared" si="10"/>
        <v>#DIV/0!</v>
      </c>
      <c r="J111" s="7"/>
      <c r="K111" s="7"/>
      <c r="L111" s="1"/>
    </row>
    <row r="112" spans="1:12" x14ac:dyDescent="0.2">
      <c r="A112" s="16"/>
      <c r="B112" s="28"/>
      <c r="C112" s="4"/>
      <c r="D112" s="5">
        <v>14</v>
      </c>
      <c r="E112" s="32"/>
      <c r="F112" s="4">
        <f t="shared" si="8"/>
        <v>0</v>
      </c>
      <c r="G112">
        <v>1</v>
      </c>
      <c r="H112" s="4">
        <f t="shared" si="9"/>
        <v>-0.12051199999999999</v>
      </c>
      <c r="I112" s="4" t="e">
        <f t="shared" si="10"/>
        <v>#DIV/0!</v>
      </c>
      <c r="J112" s="7" t="e">
        <f>AVERAGE(I112:I113)</f>
        <v>#DIV/0!</v>
      </c>
      <c r="K112" s="7" t="e">
        <f>STDEV(I112:I113)</f>
        <v>#DIV/0!</v>
      </c>
      <c r="L112" s="8" t="e">
        <f>K112/J112</f>
        <v>#DIV/0!</v>
      </c>
    </row>
    <row r="113" spans="1:12" x14ac:dyDescent="0.2">
      <c r="A113" s="16"/>
      <c r="B113" s="28"/>
      <c r="C113" s="4"/>
      <c r="D113" s="5">
        <v>14</v>
      </c>
      <c r="E113" s="32"/>
      <c r="F113" s="4">
        <f t="shared" si="8"/>
        <v>0</v>
      </c>
      <c r="G113">
        <v>1</v>
      </c>
      <c r="H113" s="4">
        <f t="shared" si="9"/>
        <v>-0.12051199999999999</v>
      </c>
      <c r="I113" s="4" t="e">
        <f t="shared" si="10"/>
        <v>#DIV/0!</v>
      </c>
      <c r="J113" s="7"/>
      <c r="K113" s="7"/>
      <c r="L113" s="1"/>
    </row>
    <row r="114" spans="1:12" x14ac:dyDescent="0.2">
      <c r="A114" s="16"/>
      <c r="B114" s="28"/>
      <c r="C114" s="4"/>
      <c r="D114" s="5">
        <v>14</v>
      </c>
      <c r="E114" s="32"/>
      <c r="F114" s="4">
        <f t="shared" si="8"/>
        <v>0</v>
      </c>
      <c r="G114">
        <v>1</v>
      </c>
      <c r="H114" s="4">
        <f t="shared" si="9"/>
        <v>-0.12051199999999999</v>
      </c>
      <c r="I114" s="4" t="e">
        <f t="shared" si="10"/>
        <v>#DIV/0!</v>
      </c>
      <c r="J114" s="7" t="e">
        <f>AVERAGE(I114:I115)</f>
        <v>#DIV/0!</v>
      </c>
      <c r="K114" s="7" t="e">
        <f>STDEV(I114:I115)</f>
        <v>#DIV/0!</v>
      </c>
      <c r="L114" s="8" t="e">
        <f>K114/J114</f>
        <v>#DIV/0!</v>
      </c>
    </row>
    <row r="115" spans="1:12" x14ac:dyDescent="0.2">
      <c r="A115" s="16"/>
      <c r="B115" s="28"/>
      <c r="C115" s="4"/>
      <c r="D115" s="5">
        <v>14</v>
      </c>
      <c r="E115" s="32"/>
      <c r="F115" s="4">
        <f t="shared" si="8"/>
        <v>0</v>
      </c>
      <c r="G115">
        <v>1</v>
      </c>
      <c r="H115" s="4">
        <f t="shared" si="9"/>
        <v>-0.12051199999999999</v>
      </c>
      <c r="I115" s="4" t="e">
        <f t="shared" si="10"/>
        <v>#DIV/0!</v>
      </c>
      <c r="J115" s="7"/>
      <c r="K115" s="7"/>
      <c r="L115" s="1"/>
    </row>
    <row r="116" spans="1:12" x14ac:dyDescent="0.2">
      <c r="A116" s="16"/>
      <c r="B116" s="28"/>
      <c r="C116" s="4"/>
      <c r="D116" s="5">
        <v>14</v>
      </c>
      <c r="E116" s="32"/>
      <c r="F116" s="4">
        <f t="shared" ref="F116:F123" si="11">E116/$M$2</f>
        <v>0</v>
      </c>
      <c r="G116">
        <v>1</v>
      </c>
      <c r="H116" s="4">
        <f t="shared" ref="H116:H123" si="12">((((F116-$F$5)/$F$2)/1000)*D116)</f>
        <v>-0.12051199999999999</v>
      </c>
      <c r="I116" s="4" t="e">
        <f t="shared" ref="I116:I123" si="13">((H116/C116)*G116)</f>
        <v>#DIV/0!</v>
      </c>
      <c r="J116" s="7" t="e">
        <f>AVERAGE(I116:I117)</f>
        <v>#DIV/0!</v>
      </c>
      <c r="K116" s="7" t="e">
        <f>STDEV(I116:I117)</f>
        <v>#DIV/0!</v>
      </c>
      <c r="L116" s="8" t="e">
        <f>K116/J116</f>
        <v>#DIV/0!</v>
      </c>
    </row>
    <row r="117" spans="1:12" x14ac:dyDescent="0.2">
      <c r="A117" s="16"/>
      <c r="B117" s="28"/>
      <c r="C117" s="4"/>
      <c r="D117" s="5">
        <v>14</v>
      </c>
      <c r="E117" s="32"/>
      <c r="F117" s="4">
        <f t="shared" si="11"/>
        <v>0</v>
      </c>
      <c r="G117">
        <v>1</v>
      </c>
      <c r="H117" s="4">
        <f t="shared" si="12"/>
        <v>-0.12051199999999999</v>
      </c>
      <c r="I117" s="4" t="e">
        <f t="shared" si="13"/>
        <v>#DIV/0!</v>
      </c>
      <c r="J117" s="7"/>
      <c r="K117" s="7"/>
      <c r="L117" s="1"/>
    </row>
    <row r="118" spans="1:12" x14ac:dyDescent="0.2">
      <c r="A118" s="16"/>
      <c r="B118" s="28"/>
      <c r="C118" s="4"/>
      <c r="D118" s="5">
        <v>14</v>
      </c>
      <c r="E118" s="32"/>
      <c r="F118" s="4">
        <f t="shared" si="11"/>
        <v>0</v>
      </c>
      <c r="G118">
        <v>1</v>
      </c>
      <c r="H118" s="4">
        <f t="shared" si="12"/>
        <v>-0.12051199999999999</v>
      </c>
      <c r="I118" s="4" t="e">
        <f t="shared" si="13"/>
        <v>#DIV/0!</v>
      </c>
      <c r="J118" s="7" t="e">
        <f>AVERAGE(I118:I119)</f>
        <v>#DIV/0!</v>
      </c>
      <c r="K118" s="7" t="e">
        <f>STDEV(I118:I119)</f>
        <v>#DIV/0!</v>
      </c>
      <c r="L118" s="8" t="e">
        <f>K118/J118</f>
        <v>#DIV/0!</v>
      </c>
    </row>
    <row r="119" spans="1:12" x14ac:dyDescent="0.2">
      <c r="A119" s="16"/>
      <c r="B119" s="28"/>
      <c r="C119" s="4"/>
      <c r="D119" s="5">
        <v>14</v>
      </c>
      <c r="E119" s="32"/>
      <c r="F119" s="4">
        <f t="shared" si="11"/>
        <v>0</v>
      </c>
      <c r="G119">
        <v>1</v>
      </c>
      <c r="H119" s="4">
        <f t="shared" si="12"/>
        <v>-0.12051199999999999</v>
      </c>
      <c r="I119" s="4" t="e">
        <f t="shared" si="13"/>
        <v>#DIV/0!</v>
      </c>
      <c r="J119" s="7"/>
      <c r="K119" s="7"/>
      <c r="L119" s="1"/>
    </row>
    <row r="120" spans="1:12" x14ac:dyDescent="0.2">
      <c r="A120" s="16"/>
      <c r="B120" s="28"/>
      <c r="C120" s="4"/>
      <c r="D120" s="5">
        <v>14</v>
      </c>
      <c r="E120" s="32"/>
      <c r="F120" s="4">
        <f t="shared" si="11"/>
        <v>0</v>
      </c>
      <c r="G120">
        <v>1</v>
      </c>
      <c r="H120" s="4">
        <f t="shared" si="12"/>
        <v>-0.12051199999999999</v>
      </c>
      <c r="I120" s="4" t="e">
        <f t="shared" si="13"/>
        <v>#DIV/0!</v>
      </c>
      <c r="J120" s="7" t="e">
        <f>AVERAGE(I120:I121)</f>
        <v>#DIV/0!</v>
      </c>
      <c r="K120" s="7" t="e">
        <f>STDEV(I120:I121)</f>
        <v>#DIV/0!</v>
      </c>
      <c r="L120" s="8" t="e">
        <f>K120/J120</f>
        <v>#DIV/0!</v>
      </c>
    </row>
    <row r="121" spans="1:12" x14ac:dyDescent="0.2">
      <c r="A121" s="16"/>
      <c r="B121" s="28"/>
      <c r="C121" s="4"/>
      <c r="D121" s="5">
        <v>14</v>
      </c>
      <c r="E121" s="32"/>
      <c r="F121" s="4">
        <f t="shared" si="11"/>
        <v>0</v>
      </c>
      <c r="G121">
        <v>1</v>
      </c>
      <c r="H121" s="4">
        <f t="shared" si="12"/>
        <v>-0.12051199999999999</v>
      </c>
      <c r="I121" s="4" t="e">
        <f t="shared" si="13"/>
        <v>#DIV/0!</v>
      </c>
      <c r="J121" s="7"/>
      <c r="K121" s="7"/>
      <c r="L121" s="1"/>
    </row>
    <row r="122" spans="1:12" x14ac:dyDescent="0.2">
      <c r="A122" s="16"/>
      <c r="B122" s="28"/>
      <c r="C122" s="4"/>
      <c r="D122" s="5">
        <v>14</v>
      </c>
      <c r="E122" s="32"/>
      <c r="F122" s="4">
        <f t="shared" si="11"/>
        <v>0</v>
      </c>
      <c r="G122">
        <v>1</v>
      </c>
      <c r="H122" s="4">
        <f t="shared" si="12"/>
        <v>-0.12051199999999999</v>
      </c>
      <c r="I122" s="4" t="e">
        <f t="shared" si="13"/>
        <v>#DIV/0!</v>
      </c>
      <c r="J122" s="7" t="e">
        <f>AVERAGE(I122:I123)</f>
        <v>#DIV/0!</v>
      </c>
      <c r="K122" s="7" t="e">
        <f>STDEV(I122:I123)</f>
        <v>#DIV/0!</v>
      </c>
      <c r="L122" s="8" t="e">
        <f>K122/J122</f>
        <v>#DIV/0!</v>
      </c>
    </row>
    <row r="123" spans="1:12" x14ac:dyDescent="0.2">
      <c r="A123" s="16"/>
      <c r="B123" s="28"/>
      <c r="C123" s="4"/>
      <c r="D123" s="5">
        <v>14</v>
      </c>
      <c r="E123" s="32"/>
      <c r="F123" s="4">
        <f t="shared" si="11"/>
        <v>0</v>
      </c>
      <c r="G123">
        <v>1</v>
      </c>
      <c r="H123" s="4">
        <f t="shared" si="12"/>
        <v>-0.12051199999999999</v>
      </c>
      <c r="I123" s="4" t="e">
        <f t="shared" si="13"/>
        <v>#DIV/0!</v>
      </c>
      <c r="J123" s="7"/>
      <c r="K123" s="7"/>
      <c r="L123" s="1"/>
    </row>
    <row r="124" spans="1:12" x14ac:dyDescent="0.2">
      <c r="A124" s="16"/>
      <c r="B124" s="28"/>
      <c r="C124" s="4"/>
      <c r="D124" s="5">
        <v>14</v>
      </c>
      <c r="E124" s="32"/>
      <c r="F124" s="4">
        <f t="shared" ref="F124:F129" si="14">E124/$M$2</f>
        <v>0</v>
      </c>
      <c r="G124">
        <v>1</v>
      </c>
      <c r="H124" s="4">
        <f t="shared" ref="H124:H129" si="15">((((F124-$F$5)/$F$2)/1000)*D124)</f>
        <v>-0.12051199999999999</v>
      </c>
      <c r="I124" s="4" t="e">
        <f t="shared" ref="I124:I129" si="16">((H124/C124)*G124)</f>
        <v>#DIV/0!</v>
      </c>
      <c r="J124" s="7" t="e">
        <f>AVERAGE(I124:I125)</f>
        <v>#DIV/0!</v>
      </c>
      <c r="K124" s="7" t="e">
        <f>STDEV(I124:I125)</f>
        <v>#DIV/0!</v>
      </c>
      <c r="L124" s="8" t="e">
        <f>K124/J124</f>
        <v>#DIV/0!</v>
      </c>
    </row>
    <row r="125" spans="1:12" x14ac:dyDescent="0.2">
      <c r="A125" s="16"/>
      <c r="B125" s="28"/>
      <c r="C125" s="4"/>
      <c r="D125" s="5">
        <v>14</v>
      </c>
      <c r="E125" s="32"/>
      <c r="F125" s="4">
        <f t="shared" si="14"/>
        <v>0</v>
      </c>
      <c r="G125">
        <v>1</v>
      </c>
      <c r="H125" s="4">
        <f t="shared" si="15"/>
        <v>-0.12051199999999999</v>
      </c>
      <c r="I125" s="4" t="e">
        <f t="shared" si="16"/>
        <v>#DIV/0!</v>
      </c>
      <c r="J125" s="7"/>
      <c r="K125" s="7"/>
      <c r="L125" s="1"/>
    </row>
    <row r="126" spans="1:12" x14ac:dyDescent="0.2">
      <c r="A126" s="16"/>
      <c r="B126" s="28"/>
      <c r="C126" s="4"/>
      <c r="D126" s="5">
        <v>14</v>
      </c>
      <c r="E126" s="32"/>
      <c r="F126" s="4">
        <f t="shared" si="14"/>
        <v>0</v>
      </c>
      <c r="G126">
        <v>1</v>
      </c>
      <c r="H126" s="4">
        <f t="shared" si="15"/>
        <v>-0.12051199999999999</v>
      </c>
      <c r="I126" s="4" t="e">
        <f t="shared" si="16"/>
        <v>#DIV/0!</v>
      </c>
      <c r="J126" s="7" t="e">
        <f>AVERAGE(I126:I127)</f>
        <v>#DIV/0!</v>
      </c>
      <c r="K126" s="7" t="e">
        <f>STDEV(I126:I127)</f>
        <v>#DIV/0!</v>
      </c>
      <c r="L126" s="8" t="e">
        <f>K126/J126</f>
        <v>#DIV/0!</v>
      </c>
    </row>
    <row r="127" spans="1:12" x14ac:dyDescent="0.2">
      <c r="A127" s="16"/>
      <c r="B127" s="28"/>
      <c r="C127" s="4"/>
      <c r="D127" s="5">
        <v>14</v>
      </c>
      <c r="E127" s="32"/>
      <c r="F127" s="4">
        <f t="shared" si="14"/>
        <v>0</v>
      </c>
      <c r="G127">
        <v>1</v>
      </c>
      <c r="H127" s="4">
        <f t="shared" si="15"/>
        <v>-0.12051199999999999</v>
      </c>
      <c r="I127" s="4" t="e">
        <f t="shared" si="16"/>
        <v>#DIV/0!</v>
      </c>
      <c r="J127" s="7"/>
      <c r="K127" s="7"/>
      <c r="L127" s="1"/>
    </row>
    <row r="128" spans="1:12" x14ac:dyDescent="0.2">
      <c r="A128" s="16"/>
      <c r="B128" s="28"/>
      <c r="C128" s="4"/>
      <c r="D128" s="5">
        <v>14</v>
      </c>
      <c r="E128" s="32"/>
      <c r="F128" s="4">
        <f t="shared" si="14"/>
        <v>0</v>
      </c>
      <c r="G128">
        <v>1</v>
      </c>
      <c r="H128" s="4">
        <f t="shared" si="15"/>
        <v>-0.12051199999999999</v>
      </c>
      <c r="I128" s="4" t="e">
        <f t="shared" si="16"/>
        <v>#DIV/0!</v>
      </c>
      <c r="J128" s="7" t="e">
        <f>AVERAGE(I128:I129)</f>
        <v>#DIV/0!</v>
      </c>
      <c r="K128" s="7" t="e">
        <f>STDEV(I128:I129)</f>
        <v>#DIV/0!</v>
      </c>
      <c r="L128" s="8" t="e">
        <f>K128/J128</f>
        <v>#DIV/0!</v>
      </c>
    </row>
    <row r="129" spans="1:12" x14ac:dyDescent="0.2">
      <c r="A129" s="16"/>
      <c r="B129" s="28"/>
      <c r="C129" s="4"/>
      <c r="D129" s="5">
        <v>14</v>
      </c>
      <c r="E129" s="32"/>
      <c r="F129" s="4">
        <f t="shared" si="14"/>
        <v>0</v>
      </c>
      <c r="G129">
        <v>1</v>
      </c>
      <c r="H129" s="4">
        <f t="shared" si="15"/>
        <v>-0.12051199999999999</v>
      </c>
      <c r="I129" s="4" t="e">
        <f t="shared" si="16"/>
        <v>#DIV/0!</v>
      </c>
      <c r="J129" s="7"/>
      <c r="K129" s="7"/>
      <c r="L129" s="1"/>
    </row>
    <row r="130" spans="1:12" x14ac:dyDescent="0.2">
      <c r="A130" s="30"/>
      <c r="B130" s="28"/>
      <c r="C130" s="37"/>
      <c r="D130" s="28"/>
      <c r="E130" s="28"/>
      <c r="F130" s="28"/>
      <c r="G130" s="28"/>
      <c r="H130" s="28"/>
      <c r="I130" s="28"/>
      <c r="J130" s="28"/>
      <c r="K130" s="28"/>
      <c r="L130" s="28"/>
    </row>
    <row r="131" spans="1:12" x14ac:dyDescent="0.2">
      <c r="A131" s="30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</row>
    <row r="132" spans="1:12" x14ac:dyDescent="0.2">
      <c r="A132" s="30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</row>
    <row r="133" spans="1:12" x14ac:dyDescent="0.2">
      <c r="A133" s="30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</row>
    <row r="134" spans="1:12" x14ac:dyDescent="0.2">
      <c r="A134" s="30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</row>
    <row r="135" spans="1:12" x14ac:dyDescent="0.2">
      <c r="A135" s="30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</row>
    <row r="136" spans="1:12" x14ac:dyDescent="0.2">
      <c r="A136" s="30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</row>
    <row r="137" spans="1:12" x14ac:dyDescent="0.2">
      <c r="A137" s="30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</row>
    <row r="138" spans="1:12" x14ac:dyDescent="0.2">
      <c r="A138" s="30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</row>
    <row r="139" spans="1:12" x14ac:dyDescent="0.2">
      <c r="A139" s="30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</row>
    <row r="140" spans="1:12" x14ac:dyDescent="0.2">
      <c r="A140" s="30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</row>
    <row r="141" spans="1:12" x14ac:dyDescent="0.2">
      <c r="A141" s="30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</row>
    <row r="142" spans="1:12" x14ac:dyDescent="0.2">
      <c r="A142" s="30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</row>
    <row r="143" spans="1:12" x14ac:dyDescent="0.2">
      <c r="A143" s="30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</row>
    <row r="144" spans="1:12" x14ac:dyDescent="0.2">
      <c r="A144" s="30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</row>
    <row r="145" spans="1:12" x14ac:dyDescent="0.2">
      <c r="A145" s="30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</row>
    <row r="146" spans="1:12" x14ac:dyDescent="0.2">
      <c r="A146" s="30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</row>
    <row r="147" spans="1:12" x14ac:dyDescent="0.2">
      <c r="A147" s="30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</row>
    <row r="148" spans="1:12" x14ac:dyDescent="0.2">
      <c r="A148" s="30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</row>
    <row r="149" spans="1:12" x14ac:dyDescent="0.2">
      <c r="A149" s="30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</row>
    <row r="150" spans="1:12" x14ac:dyDescent="0.2">
      <c r="A150" s="30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</row>
    <row r="151" spans="1:12" x14ac:dyDescent="0.2">
      <c r="A151" s="30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</row>
    <row r="152" spans="1:12" x14ac:dyDescent="0.2">
      <c r="A152" s="30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</row>
    <row r="153" spans="1:12" x14ac:dyDescent="0.2">
      <c r="A153" s="30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</row>
    <row r="154" spans="1:12" x14ac:dyDescent="0.2">
      <c r="A154" s="30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</row>
    <row r="155" spans="1:12" x14ac:dyDescent="0.2">
      <c r="A155" s="30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</row>
    <row r="156" spans="1:12" x14ac:dyDescent="0.2">
      <c r="A156" s="30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</row>
    <row r="157" spans="1:12" x14ac:dyDescent="0.2">
      <c r="A157" s="30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</row>
    <row r="158" spans="1:12" x14ac:dyDescent="0.2">
      <c r="A158" s="30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</row>
    <row r="159" spans="1:12" x14ac:dyDescent="0.2">
      <c r="A159" s="30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</row>
    <row r="160" spans="1:12" x14ac:dyDescent="0.2">
      <c r="A160" s="30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</row>
    <row r="161" spans="1:12" x14ac:dyDescent="0.2">
      <c r="A161" s="30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</row>
    <row r="162" spans="1:12" x14ac:dyDescent="0.2">
      <c r="A162" s="30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</row>
    <row r="163" spans="1:12" x14ac:dyDescent="0.2">
      <c r="A163" s="30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</row>
    <row r="164" spans="1:12" x14ac:dyDescent="0.2">
      <c r="A164" s="30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</row>
    <row r="165" spans="1:12" x14ac:dyDescent="0.2">
      <c r="A165" s="30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</row>
    <row r="166" spans="1:12" x14ac:dyDescent="0.2">
      <c r="A166" s="30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</row>
    <row r="167" spans="1:12" x14ac:dyDescent="0.2">
      <c r="A167" s="30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</row>
    <row r="168" spans="1:12" x14ac:dyDescent="0.2">
      <c r="A168" s="30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</row>
    <row r="169" spans="1:12" x14ac:dyDescent="0.2">
      <c r="A169" s="30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</row>
    <row r="170" spans="1:12" x14ac:dyDescent="0.2">
      <c r="A170" s="30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</row>
    <row r="171" spans="1:12" x14ac:dyDescent="0.2">
      <c r="A171" s="30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</row>
    <row r="172" spans="1:12" x14ac:dyDescent="0.2">
      <c r="A172" s="30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</row>
    <row r="173" spans="1:12" x14ac:dyDescent="0.2">
      <c r="A173" s="30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</row>
    <row r="174" spans="1:12" x14ac:dyDescent="0.2">
      <c r="A174" s="30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</row>
    <row r="175" spans="1:12" x14ac:dyDescent="0.2">
      <c r="A175" s="30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</row>
    <row r="176" spans="1:12" x14ac:dyDescent="0.2">
      <c r="A176" s="30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</row>
    <row r="177" spans="1:12" x14ac:dyDescent="0.2">
      <c r="A177" s="30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</row>
    <row r="178" spans="1:12" x14ac:dyDescent="0.2">
      <c r="A178" s="30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</row>
    <row r="179" spans="1:12" x14ac:dyDescent="0.2">
      <c r="A179" s="30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</row>
    <row r="180" spans="1:12" x14ac:dyDescent="0.2">
      <c r="A180" s="30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</row>
    <row r="181" spans="1:12" x14ac:dyDescent="0.2">
      <c r="A181" s="30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</row>
    <row r="182" spans="1:12" x14ac:dyDescent="0.2">
      <c r="A182" s="30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</row>
    <row r="183" spans="1:12" x14ac:dyDescent="0.2">
      <c r="A183" s="30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</row>
    <row r="184" spans="1:12" x14ac:dyDescent="0.2">
      <c r="A184" s="30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</row>
    <row r="185" spans="1:12" x14ac:dyDescent="0.2">
      <c r="A185" s="30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</row>
    <row r="186" spans="1:12" x14ac:dyDescent="0.2">
      <c r="A186" s="30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</row>
    <row r="187" spans="1:12" x14ac:dyDescent="0.2">
      <c r="A187" s="30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</row>
    <row r="188" spans="1:12" x14ac:dyDescent="0.2">
      <c r="A188" s="30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</row>
    <row r="189" spans="1:12" x14ac:dyDescent="0.2">
      <c r="A189" s="30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</row>
    <row r="190" spans="1:12" x14ac:dyDescent="0.2">
      <c r="A190" s="30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</row>
    <row r="191" spans="1:12" x14ac:dyDescent="0.2">
      <c r="A191" s="30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</row>
    <row r="192" spans="1:12" x14ac:dyDescent="0.2">
      <c r="A192" s="30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</row>
    <row r="193" spans="1:12" x14ac:dyDescent="0.2">
      <c r="A193" s="30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</row>
    <row r="194" spans="1:12" x14ac:dyDescent="0.2">
      <c r="A194" s="30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</row>
    <row r="195" spans="1:12" x14ac:dyDescent="0.2">
      <c r="A195" s="30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</row>
    <row r="196" spans="1:12" x14ac:dyDescent="0.2">
      <c r="A196" s="30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</row>
    <row r="197" spans="1:12" x14ac:dyDescent="0.2">
      <c r="A197" s="30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</row>
    <row r="198" spans="1:12" x14ac:dyDescent="0.2">
      <c r="A198" s="30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</row>
    <row r="199" spans="1:12" x14ac:dyDescent="0.2">
      <c r="A199" s="30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</row>
    <row r="200" spans="1:12" x14ac:dyDescent="0.2">
      <c r="A200" s="30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</row>
    <row r="201" spans="1:12" x14ac:dyDescent="0.2">
      <c r="A201" s="30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</row>
    <row r="202" spans="1:12" x14ac:dyDescent="0.2">
      <c r="A202" s="30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</row>
    <row r="203" spans="1:12" x14ac:dyDescent="0.2">
      <c r="A203" s="30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</row>
    <row r="204" spans="1:12" x14ac:dyDescent="0.2">
      <c r="A204" s="30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</row>
    <row r="205" spans="1:12" x14ac:dyDescent="0.2">
      <c r="A205" s="30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</row>
    <row r="206" spans="1:12" x14ac:dyDescent="0.2">
      <c r="A206" s="30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</row>
    <row r="207" spans="1:12" x14ac:dyDescent="0.2">
      <c r="A207" s="30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</row>
    <row r="208" spans="1:12" x14ac:dyDescent="0.2">
      <c r="A208" s="30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</row>
    <row r="209" spans="1:12" x14ac:dyDescent="0.2">
      <c r="A209" s="30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</row>
    <row r="210" spans="1:12" x14ac:dyDescent="0.2">
      <c r="A210" s="30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</row>
    <row r="211" spans="1:12" x14ac:dyDescent="0.2">
      <c r="A211" s="30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</row>
    <row r="212" spans="1:12" x14ac:dyDescent="0.2">
      <c r="A212" s="30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</row>
    <row r="213" spans="1:12" x14ac:dyDescent="0.2">
      <c r="A213" s="30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</row>
    <row r="214" spans="1:12" x14ac:dyDescent="0.2">
      <c r="A214" s="30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</row>
    <row r="215" spans="1:12" x14ac:dyDescent="0.2">
      <c r="A215" s="30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</row>
    <row r="216" spans="1:12" x14ac:dyDescent="0.2">
      <c r="A216" s="30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</row>
    <row r="217" spans="1:12" x14ac:dyDescent="0.2">
      <c r="A217" s="30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</row>
    <row r="218" spans="1:12" x14ac:dyDescent="0.2">
      <c r="A218" s="30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</row>
    <row r="219" spans="1:12" x14ac:dyDescent="0.2">
      <c r="A219" s="30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</row>
    <row r="220" spans="1:12" x14ac:dyDescent="0.2">
      <c r="A220" s="30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</row>
    <row r="221" spans="1:12" x14ac:dyDescent="0.2">
      <c r="A221" s="30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</row>
    <row r="222" spans="1:12" x14ac:dyDescent="0.2">
      <c r="A222" s="30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</row>
    <row r="223" spans="1:12" x14ac:dyDescent="0.2">
      <c r="A223" s="30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</row>
    <row r="224" spans="1:12" x14ac:dyDescent="0.2">
      <c r="A224" s="30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</row>
    <row r="225" spans="1:12" x14ac:dyDescent="0.2">
      <c r="A225" s="30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</row>
    <row r="226" spans="1:12" x14ac:dyDescent="0.2">
      <c r="A226" s="30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</row>
    <row r="227" spans="1:12" x14ac:dyDescent="0.2">
      <c r="A227" s="30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</row>
    <row r="228" spans="1:12" x14ac:dyDescent="0.2">
      <c r="A228" s="30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</row>
    <row r="229" spans="1:12" x14ac:dyDescent="0.2">
      <c r="A229" s="30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</row>
    <row r="230" spans="1:12" x14ac:dyDescent="0.2">
      <c r="A230" s="30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</row>
    <row r="231" spans="1:12" x14ac:dyDescent="0.2">
      <c r="A231" s="30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</row>
    <row r="232" spans="1:12" x14ac:dyDescent="0.2">
      <c r="A232" s="30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</row>
    <row r="233" spans="1:12" x14ac:dyDescent="0.2">
      <c r="A233" s="30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</row>
    <row r="234" spans="1:12" x14ac:dyDescent="0.2">
      <c r="A234" s="30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</row>
    <row r="235" spans="1:12" x14ac:dyDescent="0.2">
      <c r="A235" s="30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</row>
    <row r="236" spans="1:12" x14ac:dyDescent="0.2">
      <c r="A236" s="30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</row>
    <row r="237" spans="1:12" x14ac:dyDescent="0.2">
      <c r="A237" s="30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</row>
    <row r="238" spans="1:12" x14ac:dyDescent="0.2">
      <c r="A238" s="30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</row>
    <row r="239" spans="1:12" x14ac:dyDescent="0.2">
      <c r="A239" s="30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</row>
    <row r="240" spans="1:12" x14ac:dyDescent="0.2">
      <c r="A240" s="30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</row>
    <row r="241" spans="1:12" x14ac:dyDescent="0.2">
      <c r="A241" s="30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</row>
    <row r="242" spans="1:12" x14ac:dyDescent="0.2">
      <c r="A242" s="30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</row>
    <row r="243" spans="1:12" x14ac:dyDescent="0.2">
      <c r="A243" s="30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</row>
    <row r="244" spans="1:12" x14ac:dyDescent="0.2">
      <c r="A244" s="30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</row>
    <row r="245" spans="1:12" x14ac:dyDescent="0.2">
      <c r="A245" s="30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</row>
    <row r="246" spans="1:12" x14ac:dyDescent="0.2">
      <c r="A246" s="30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</row>
    <row r="247" spans="1:12" x14ac:dyDescent="0.2">
      <c r="A247" s="30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</row>
    <row r="248" spans="1:12" x14ac:dyDescent="0.2">
      <c r="A248" s="30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</row>
    <row r="249" spans="1:12" x14ac:dyDescent="0.2">
      <c r="A249" s="30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</row>
    <row r="250" spans="1:12" x14ac:dyDescent="0.2">
      <c r="A250" s="30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</row>
    <row r="251" spans="1:12" x14ac:dyDescent="0.2">
      <c r="A251" s="30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</row>
    <row r="252" spans="1:12" x14ac:dyDescent="0.2">
      <c r="A252" s="30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</row>
    <row r="253" spans="1:12" x14ac:dyDescent="0.2">
      <c r="A253" s="30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</row>
    <row r="254" spans="1:12" x14ac:dyDescent="0.2">
      <c r="A254" s="30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</row>
    <row r="255" spans="1:12" x14ac:dyDescent="0.2">
      <c r="A255" s="30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</row>
    <row r="256" spans="1:12" x14ac:dyDescent="0.2">
      <c r="A256" s="30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</row>
    <row r="257" spans="1:12" x14ac:dyDescent="0.2">
      <c r="A257" s="30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</row>
    <row r="258" spans="1:12" x14ac:dyDescent="0.2">
      <c r="A258" s="30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</row>
    <row r="259" spans="1:12" x14ac:dyDescent="0.2">
      <c r="A259" s="30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</row>
    <row r="260" spans="1:12" x14ac:dyDescent="0.2">
      <c r="A260" s="30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</row>
    <row r="261" spans="1:12" x14ac:dyDescent="0.2">
      <c r="A261" s="30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</row>
    <row r="262" spans="1:12" x14ac:dyDescent="0.2">
      <c r="A262" s="30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</row>
    <row r="263" spans="1:12" x14ac:dyDescent="0.2">
      <c r="A263" s="30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</row>
    <row r="264" spans="1:12" x14ac:dyDescent="0.2">
      <c r="A264" s="30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</row>
    <row r="265" spans="1:12" x14ac:dyDescent="0.2">
      <c r="A265" s="30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</row>
    <row r="266" spans="1:12" x14ac:dyDescent="0.2">
      <c r="A266" s="30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</row>
    <row r="267" spans="1:12" x14ac:dyDescent="0.2">
      <c r="A267" s="30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</row>
    <row r="268" spans="1:12" x14ac:dyDescent="0.2">
      <c r="A268" s="30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</row>
    <row r="269" spans="1:12" x14ac:dyDescent="0.2">
      <c r="A269" s="30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</row>
    <row r="270" spans="1:12" x14ac:dyDescent="0.2">
      <c r="A270" s="30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</row>
    <row r="271" spans="1:12" x14ac:dyDescent="0.2">
      <c r="A271" s="30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</row>
    <row r="272" spans="1:12" x14ac:dyDescent="0.2">
      <c r="A272" s="30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</row>
    <row r="273" spans="1:12" x14ac:dyDescent="0.2">
      <c r="A273" s="30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</row>
    <row r="274" spans="1:12" x14ac:dyDescent="0.2">
      <c r="A274" s="30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</row>
    <row r="275" spans="1:12" x14ac:dyDescent="0.2">
      <c r="A275" s="30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</row>
    <row r="276" spans="1:12" x14ac:dyDescent="0.2">
      <c r="A276" s="30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</row>
    <row r="277" spans="1:12" x14ac:dyDescent="0.2">
      <c r="A277" s="30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</row>
    <row r="278" spans="1:12" x14ac:dyDescent="0.2">
      <c r="A278" s="30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</row>
    <row r="279" spans="1:12" x14ac:dyDescent="0.2">
      <c r="A279" s="30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</row>
    <row r="280" spans="1:12" x14ac:dyDescent="0.2">
      <c r="A280" s="30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</row>
    <row r="281" spans="1:12" x14ac:dyDescent="0.2">
      <c r="A281" s="30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</row>
    <row r="282" spans="1:12" x14ac:dyDescent="0.2">
      <c r="A282" s="30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</row>
    <row r="283" spans="1:12" x14ac:dyDescent="0.2">
      <c r="A283" s="30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</row>
    <row r="284" spans="1:12" x14ac:dyDescent="0.2">
      <c r="A284" s="30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</row>
    <row r="285" spans="1:12" x14ac:dyDescent="0.2">
      <c r="A285" s="30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</row>
    <row r="286" spans="1:12" x14ac:dyDescent="0.2">
      <c r="A286" s="30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</row>
    <row r="287" spans="1:12" x14ac:dyDescent="0.2">
      <c r="A287" s="30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</row>
    <row r="288" spans="1:12" x14ac:dyDescent="0.2">
      <c r="A288" s="30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</row>
    <row r="289" spans="1:12" x14ac:dyDescent="0.2">
      <c r="A289" s="30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</row>
    <row r="290" spans="1:12" x14ac:dyDescent="0.2">
      <c r="A290" s="30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</row>
    <row r="291" spans="1:12" x14ac:dyDescent="0.2">
      <c r="A291" s="30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</row>
    <row r="292" spans="1:12" x14ac:dyDescent="0.2">
      <c r="A292" s="30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</row>
    <row r="293" spans="1:12" x14ac:dyDescent="0.2">
      <c r="A293" s="30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</row>
    <row r="294" spans="1:12" x14ac:dyDescent="0.2">
      <c r="A294" s="30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</row>
    <row r="295" spans="1:12" x14ac:dyDescent="0.2">
      <c r="A295" s="30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</row>
    <row r="296" spans="1:12" x14ac:dyDescent="0.2">
      <c r="A296" s="30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</row>
    <row r="297" spans="1:12" x14ac:dyDescent="0.2">
      <c r="A297" s="30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</row>
    <row r="298" spans="1:12" x14ac:dyDescent="0.2">
      <c r="A298" s="30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</row>
    <row r="299" spans="1:12" x14ac:dyDescent="0.2">
      <c r="A299" s="30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</row>
    <row r="300" spans="1:12" x14ac:dyDescent="0.2">
      <c r="A300" s="30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</row>
    <row r="301" spans="1:12" x14ac:dyDescent="0.2">
      <c r="A301" s="30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</row>
    <row r="302" spans="1:12" x14ac:dyDescent="0.2">
      <c r="A302" s="30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</row>
    <row r="303" spans="1:12" x14ac:dyDescent="0.2">
      <c r="A303" s="30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</row>
    <row r="304" spans="1:12" x14ac:dyDescent="0.2">
      <c r="A304" s="30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</row>
    <row r="305" spans="1:12" x14ac:dyDescent="0.2">
      <c r="A305" s="30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</row>
    <row r="306" spans="1:12" x14ac:dyDescent="0.2">
      <c r="A306" s="30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</row>
    <row r="307" spans="1:12" x14ac:dyDescent="0.2">
      <c r="A307" s="30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</row>
    <row r="308" spans="1:12" x14ac:dyDescent="0.2">
      <c r="A308" s="30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</row>
    <row r="309" spans="1:12" x14ac:dyDescent="0.2">
      <c r="A309" s="30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</row>
    <row r="310" spans="1:12" x14ac:dyDescent="0.2">
      <c r="A310" s="30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</row>
    <row r="311" spans="1:12" x14ac:dyDescent="0.2">
      <c r="A311" s="30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</row>
    <row r="312" spans="1:12" x14ac:dyDescent="0.2">
      <c r="A312" s="30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</row>
    <row r="313" spans="1:12" x14ac:dyDescent="0.2">
      <c r="A313" s="30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</row>
    <row r="314" spans="1:12" x14ac:dyDescent="0.2">
      <c r="A314" s="30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</row>
    <row r="315" spans="1:12" x14ac:dyDescent="0.2">
      <c r="A315" s="30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</row>
    <row r="316" spans="1:12" x14ac:dyDescent="0.2">
      <c r="A316" s="30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</row>
    <row r="317" spans="1:12" x14ac:dyDescent="0.2">
      <c r="A317" s="30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</row>
    <row r="318" spans="1:12" x14ac:dyDescent="0.2">
      <c r="A318" s="30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</row>
    <row r="319" spans="1:12" x14ac:dyDescent="0.2">
      <c r="A319" s="30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</row>
    <row r="320" spans="1:12" x14ac:dyDescent="0.2">
      <c r="A320" s="30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</row>
    <row r="321" spans="1:12" x14ac:dyDescent="0.2">
      <c r="A321" s="30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</row>
    <row r="322" spans="1:12" x14ac:dyDescent="0.2">
      <c r="A322" s="30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</row>
    <row r="323" spans="1:12" x14ac:dyDescent="0.2">
      <c r="A323" s="30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</row>
    <row r="324" spans="1:12" x14ac:dyDescent="0.2">
      <c r="A324" s="30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</row>
    <row r="325" spans="1:12" x14ac:dyDescent="0.2">
      <c r="A325" s="30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</row>
    <row r="326" spans="1:12" x14ac:dyDescent="0.2">
      <c r="A326" s="30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</row>
    <row r="327" spans="1:12" x14ac:dyDescent="0.2">
      <c r="A327" s="30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</row>
    <row r="328" spans="1:12" x14ac:dyDescent="0.2">
      <c r="A328" s="30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</row>
    <row r="329" spans="1:12" x14ac:dyDescent="0.2">
      <c r="A329" s="30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</row>
    <row r="330" spans="1:12" x14ac:dyDescent="0.2">
      <c r="A330" s="30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</row>
    <row r="331" spans="1:12" x14ac:dyDescent="0.2">
      <c r="A331" s="30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</row>
    <row r="332" spans="1:12" x14ac:dyDescent="0.2">
      <c r="A332" s="30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</row>
    <row r="333" spans="1:12" x14ac:dyDescent="0.2">
      <c r="A333" s="30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</row>
    <row r="334" spans="1:12" x14ac:dyDescent="0.2">
      <c r="A334" s="30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</row>
    <row r="335" spans="1:12" x14ac:dyDescent="0.2">
      <c r="A335" s="30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</row>
    <row r="336" spans="1:12" x14ac:dyDescent="0.2">
      <c r="A336" s="30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</row>
    <row r="337" spans="1:12" x14ac:dyDescent="0.2">
      <c r="A337" s="30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</row>
    <row r="338" spans="1:12" x14ac:dyDescent="0.2">
      <c r="A338" s="30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</row>
    <row r="339" spans="1:12" x14ac:dyDescent="0.2">
      <c r="A339" s="30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</row>
    <row r="340" spans="1:12" x14ac:dyDescent="0.2">
      <c r="A340" s="30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</row>
    <row r="341" spans="1:12" x14ac:dyDescent="0.2">
      <c r="A341" s="30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</row>
    <row r="342" spans="1:12" x14ac:dyDescent="0.2">
      <c r="A342" s="30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</row>
    <row r="343" spans="1:12" x14ac:dyDescent="0.2">
      <c r="A343" s="30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</row>
    <row r="344" spans="1:12" x14ac:dyDescent="0.2">
      <c r="A344" s="30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</row>
    <row r="345" spans="1:12" x14ac:dyDescent="0.2">
      <c r="A345" s="30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</row>
    <row r="346" spans="1:12" x14ac:dyDescent="0.2">
      <c r="A346" s="30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</row>
    <row r="347" spans="1:12" x14ac:dyDescent="0.2">
      <c r="A347" s="30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</row>
    <row r="348" spans="1:12" x14ac:dyDescent="0.2">
      <c r="A348" s="30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</row>
    <row r="349" spans="1:12" x14ac:dyDescent="0.2">
      <c r="A349" s="30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</row>
    <row r="350" spans="1:12" x14ac:dyDescent="0.2">
      <c r="A350" s="30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</row>
    <row r="351" spans="1:12" x14ac:dyDescent="0.2">
      <c r="A351" s="30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</row>
    <row r="352" spans="1:12" x14ac:dyDescent="0.2">
      <c r="A352" s="30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</row>
    <row r="353" spans="1:12" x14ac:dyDescent="0.2">
      <c r="A353" s="30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</row>
    <row r="354" spans="1:12" x14ac:dyDescent="0.2">
      <c r="A354" s="30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</row>
    <row r="355" spans="1:12" x14ac:dyDescent="0.2">
      <c r="A355" s="30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</row>
    <row r="356" spans="1:12" x14ac:dyDescent="0.2">
      <c r="A356" s="30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</row>
    <row r="357" spans="1:12" x14ac:dyDescent="0.2">
      <c r="A357" s="30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</row>
    <row r="358" spans="1:12" x14ac:dyDescent="0.2">
      <c r="A358" s="30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</row>
    <row r="359" spans="1:12" x14ac:dyDescent="0.2">
      <c r="A359" s="30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</row>
    <row r="360" spans="1:12" x14ac:dyDescent="0.2">
      <c r="A360" s="30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</row>
    <row r="361" spans="1:12" x14ac:dyDescent="0.2">
      <c r="A361" s="30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</row>
    <row r="362" spans="1:12" x14ac:dyDescent="0.2">
      <c r="A362" s="30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</row>
    <row r="363" spans="1:12" x14ac:dyDescent="0.2">
      <c r="A363" s="30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</row>
    <row r="364" spans="1:12" x14ac:dyDescent="0.2">
      <c r="A364" s="30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</row>
    <row r="365" spans="1:12" x14ac:dyDescent="0.2">
      <c r="A365" s="30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</row>
    <row r="366" spans="1:12" x14ac:dyDescent="0.2">
      <c r="A366" s="30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</row>
    <row r="367" spans="1:12" x14ac:dyDescent="0.2">
      <c r="A367" s="30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</row>
    <row r="368" spans="1:12" x14ac:dyDescent="0.2">
      <c r="A368" s="30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</row>
    <row r="369" spans="1:12" x14ac:dyDescent="0.2">
      <c r="A369" s="30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</row>
    <row r="370" spans="1:12" x14ac:dyDescent="0.2">
      <c r="A370" s="30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</row>
    <row r="371" spans="1:12" x14ac:dyDescent="0.2">
      <c r="A371" s="30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</row>
    <row r="372" spans="1:12" x14ac:dyDescent="0.2">
      <c r="A372" s="30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</row>
    <row r="373" spans="1:12" x14ac:dyDescent="0.2">
      <c r="A373" s="30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</row>
    <row r="374" spans="1:12" x14ac:dyDescent="0.2">
      <c r="A374" s="30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</row>
    <row r="375" spans="1:12" x14ac:dyDescent="0.2">
      <c r="A375" s="30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</row>
    <row r="376" spans="1:12" x14ac:dyDescent="0.2">
      <c r="A376" s="30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</row>
    <row r="377" spans="1:12" x14ac:dyDescent="0.2">
      <c r="A377" s="30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</row>
    <row r="378" spans="1:12" x14ac:dyDescent="0.2">
      <c r="A378" s="30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</row>
    <row r="379" spans="1:12" x14ac:dyDescent="0.2">
      <c r="A379" s="30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</row>
    <row r="380" spans="1:12" x14ac:dyDescent="0.2">
      <c r="A380" s="30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</row>
    <row r="381" spans="1:12" x14ac:dyDescent="0.2">
      <c r="A381" s="30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</row>
    <row r="382" spans="1:12" x14ac:dyDescent="0.2">
      <c r="A382" s="30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</row>
    <row r="383" spans="1:12" x14ac:dyDescent="0.2">
      <c r="A383" s="30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</row>
    <row r="384" spans="1:12" x14ac:dyDescent="0.2">
      <c r="A384" s="30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</row>
    <row r="385" spans="1:12" x14ac:dyDescent="0.2">
      <c r="A385" s="30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</row>
    <row r="386" spans="1:12" x14ac:dyDescent="0.2">
      <c r="A386" s="30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</row>
    <row r="387" spans="1:12" x14ac:dyDescent="0.2">
      <c r="A387" s="30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</row>
    <row r="388" spans="1:12" x14ac:dyDescent="0.2">
      <c r="A388" s="30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</row>
    <row r="389" spans="1:12" x14ac:dyDescent="0.2">
      <c r="A389" s="30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</row>
    <row r="390" spans="1:12" x14ac:dyDescent="0.2">
      <c r="A390" s="30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</row>
    <row r="391" spans="1:12" x14ac:dyDescent="0.2">
      <c r="A391" s="30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</row>
    <row r="392" spans="1:12" x14ac:dyDescent="0.2">
      <c r="A392" s="30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</row>
    <row r="393" spans="1:12" x14ac:dyDescent="0.2">
      <c r="A393" s="30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</row>
    <row r="394" spans="1:12" x14ac:dyDescent="0.2">
      <c r="A394" s="30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</row>
    <row r="395" spans="1:12" x14ac:dyDescent="0.2">
      <c r="A395" s="30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</row>
    <row r="396" spans="1:12" x14ac:dyDescent="0.2">
      <c r="A396" s="30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</row>
    <row r="397" spans="1:12" x14ac:dyDescent="0.2">
      <c r="A397" s="30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</row>
    <row r="398" spans="1:12" x14ac:dyDescent="0.2">
      <c r="A398" s="30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</row>
    <row r="399" spans="1:12" x14ac:dyDescent="0.2">
      <c r="A399" s="30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</row>
    <row r="400" spans="1:12" x14ac:dyDescent="0.2">
      <c r="A400" s="30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</row>
    <row r="401" spans="1:12" x14ac:dyDescent="0.2">
      <c r="A401" s="30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</row>
    <row r="402" spans="1:12" x14ac:dyDescent="0.2">
      <c r="A402" s="30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</row>
    <row r="403" spans="1:12" x14ac:dyDescent="0.2">
      <c r="A403" s="30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</row>
    <row r="404" spans="1:12" x14ac:dyDescent="0.2">
      <c r="A404" s="30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</row>
    <row r="405" spans="1:12" x14ac:dyDescent="0.2">
      <c r="A405" s="30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</row>
    <row r="406" spans="1:12" x14ac:dyDescent="0.2">
      <c r="A406" s="30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</row>
    <row r="407" spans="1:12" x14ac:dyDescent="0.2">
      <c r="A407" s="30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</row>
    <row r="408" spans="1:12" x14ac:dyDescent="0.2">
      <c r="A408" s="30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</row>
    <row r="409" spans="1:12" x14ac:dyDescent="0.2">
      <c r="A409" s="30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</row>
    <row r="410" spans="1:12" x14ac:dyDescent="0.2">
      <c r="A410" s="30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</row>
    <row r="411" spans="1:12" x14ac:dyDescent="0.2">
      <c r="A411" s="30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</row>
    <row r="412" spans="1:12" x14ac:dyDescent="0.2">
      <c r="A412" s="30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</row>
    <row r="413" spans="1:12" x14ac:dyDescent="0.2">
      <c r="A413" s="30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</row>
    <row r="414" spans="1:12" x14ac:dyDescent="0.2">
      <c r="A414" s="30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</row>
    <row r="415" spans="1:12" x14ac:dyDescent="0.2">
      <c r="A415" s="30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</row>
    <row r="416" spans="1:12" x14ac:dyDescent="0.2">
      <c r="A416" s="30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</row>
    <row r="417" spans="1:12" x14ac:dyDescent="0.2">
      <c r="A417" s="30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</row>
    <row r="418" spans="1:12" x14ac:dyDescent="0.2">
      <c r="A418" s="30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</row>
    <row r="419" spans="1:12" x14ac:dyDescent="0.2">
      <c r="A419" s="30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</row>
    <row r="420" spans="1:12" x14ac:dyDescent="0.2">
      <c r="A420" s="30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</row>
    <row r="421" spans="1:12" x14ac:dyDescent="0.2">
      <c r="A421" s="30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</row>
    <row r="422" spans="1:12" x14ac:dyDescent="0.2">
      <c r="A422" s="30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</row>
    <row r="423" spans="1:12" x14ac:dyDescent="0.2">
      <c r="A423" s="30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</row>
    <row r="424" spans="1:12" x14ac:dyDescent="0.2">
      <c r="A424" s="30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</row>
    <row r="425" spans="1:12" x14ac:dyDescent="0.2">
      <c r="A425" s="30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</row>
    <row r="426" spans="1:12" x14ac:dyDescent="0.2">
      <c r="A426" s="30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</row>
    <row r="427" spans="1:12" x14ac:dyDescent="0.2">
      <c r="A427" s="30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</row>
    <row r="428" spans="1:12" x14ac:dyDescent="0.2">
      <c r="A428" s="30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</row>
    <row r="429" spans="1:12" x14ac:dyDescent="0.2">
      <c r="A429" s="30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</row>
    <row r="430" spans="1:12" x14ac:dyDescent="0.2">
      <c r="A430" s="30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</row>
    <row r="431" spans="1:12" x14ac:dyDescent="0.2">
      <c r="A431" s="30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</row>
    <row r="432" spans="1:12" x14ac:dyDescent="0.2">
      <c r="A432" s="30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</row>
    <row r="433" spans="1:12" x14ac:dyDescent="0.2">
      <c r="A433" s="30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</row>
    <row r="434" spans="1:12" x14ac:dyDescent="0.2">
      <c r="A434" s="30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</row>
    <row r="435" spans="1:12" x14ac:dyDescent="0.2">
      <c r="A435" s="30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</row>
    <row r="436" spans="1:12" x14ac:dyDescent="0.2">
      <c r="A436" s="30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</row>
    <row r="437" spans="1:12" x14ac:dyDescent="0.2">
      <c r="A437" s="30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</row>
    <row r="438" spans="1:12" x14ac:dyDescent="0.2">
      <c r="A438" s="30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</row>
    <row r="439" spans="1:12" x14ac:dyDescent="0.2">
      <c r="A439" s="30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</row>
    <row r="440" spans="1:12" x14ac:dyDescent="0.2">
      <c r="A440" s="30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</row>
    <row r="441" spans="1:12" x14ac:dyDescent="0.2">
      <c r="A441" s="30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</row>
    <row r="442" spans="1:12" x14ac:dyDescent="0.2">
      <c r="A442" s="30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</row>
    <row r="443" spans="1:12" x14ac:dyDescent="0.2">
      <c r="A443" s="30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</row>
    <row r="444" spans="1:12" x14ac:dyDescent="0.2">
      <c r="A444" s="30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</row>
    <row r="445" spans="1:12" x14ac:dyDescent="0.2">
      <c r="A445" s="30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</row>
    <row r="446" spans="1:12" x14ac:dyDescent="0.2">
      <c r="A446" s="30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</row>
    <row r="447" spans="1:12" x14ac:dyDescent="0.2">
      <c r="A447" s="30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</row>
    <row r="448" spans="1:12" x14ac:dyDescent="0.2">
      <c r="A448" s="30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</row>
    <row r="449" spans="1:12" x14ac:dyDescent="0.2">
      <c r="A449" s="30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</row>
    <row r="450" spans="1:12" x14ac:dyDescent="0.2">
      <c r="A450" s="30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</row>
    <row r="451" spans="1:12" x14ac:dyDescent="0.2">
      <c r="A451" s="30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</row>
    <row r="452" spans="1:12" x14ac:dyDescent="0.2">
      <c r="A452" s="30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</row>
    <row r="453" spans="1:12" x14ac:dyDescent="0.2">
      <c r="A453" s="30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</row>
    <row r="454" spans="1:12" x14ac:dyDescent="0.2">
      <c r="A454" s="30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</row>
    <row r="455" spans="1:12" x14ac:dyDescent="0.2">
      <c r="A455" s="30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</row>
    <row r="456" spans="1:12" x14ac:dyDescent="0.2">
      <c r="A456" s="30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</row>
    <row r="457" spans="1:12" x14ac:dyDescent="0.2">
      <c r="A457" s="30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</row>
    <row r="458" spans="1:12" x14ac:dyDescent="0.2">
      <c r="A458" s="30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</row>
    <row r="459" spans="1:12" x14ac:dyDescent="0.2">
      <c r="A459" s="30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</row>
    <row r="460" spans="1:12" x14ac:dyDescent="0.2">
      <c r="A460" s="30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</row>
    <row r="461" spans="1:12" x14ac:dyDescent="0.2">
      <c r="A461" s="30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</row>
    <row r="462" spans="1:12" x14ac:dyDescent="0.2">
      <c r="A462" s="30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</row>
    <row r="463" spans="1:12" x14ac:dyDescent="0.2">
      <c r="A463" s="30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</row>
    <row r="464" spans="1:12" x14ac:dyDescent="0.2">
      <c r="A464" s="30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</row>
    <row r="465" spans="1:12" x14ac:dyDescent="0.2">
      <c r="A465" s="30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</row>
    <row r="466" spans="1:12" x14ac:dyDescent="0.2">
      <c r="A466" s="30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</row>
    <row r="467" spans="1:12" x14ac:dyDescent="0.2">
      <c r="A467" s="30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</row>
    <row r="468" spans="1:12" x14ac:dyDescent="0.2">
      <c r="A468" s="30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</row>
    <row r="469" spans="1:12" x14ac:dyDescent="0.2">
      <c r="A469" s="30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</row>
    <row r="470" spans="1:12" x14ac:dyDescent="0.2">
      <c r="A470" s="30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</row>
    <row r="471" spans="1:12" x14ac:dyDescent="0.2">
      <c r="A471" s="30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</row>
    <row r="472" spans="1:12" x14ac:dyDescent="0.2">
      <c r="A472" s="30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</row>
    <row r="473" spans="1:12" x14ac:dyDescent="0.2">
      <c r="A473" s="30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</row>
    <row r="474" spans="1:12" x14ac:dyDescent="0.2">
      <c r="A474" s="30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</row>
    <row r="475" spans="1:12" x14ac:dyDescent="0.2">
      <c r="A475" s="30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</row>
    <row r="476" spans="1:12" x14ac:dyDescent="0.2">
      <c r="A476" s="30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</row>
    <row r="477" spans="1:12" x14ac:dyDescent="0.2">
      <c r="A477" s="30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</row>
    <row r="478" spans="1:12" x14ac:dyDescent="0.2">
      <c r="A478" s="30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</row>
    <row r="479" spans="1:12" x14ac:dyDescent="0.2">
      <c r="A479" s="30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</row>
  </sheetData>
  <phoneticPr fontId="0" type="noConversion"/>
  <pageMargins left="0.75" right="0.75" top="1" bottom="1" header="0.5" footer="0.5"/>
  <pageSetup scale="87" fitToWidth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C6DEF-7BC6-46C7-BD76-81594A2BE88C}">
  <dimension ref="A1:G50"/>
  <sheetViews>
    <sheetView tabSelected="1" topLeftCell="A22" workbookViewId="0">
      <selection activeCell="F60" sqref="F60"/>
    </sheetView>
  </sheetViews>
  <sheetFormatPr defaultRowHeight="12.75" x14ac:dyDescent="0.2"/>
  <cols>
    <col min="1" max="1" width="23.140625" bestFit="1" customWidth="1"/>
    <col min="2" max="2" width="7" bestFit="1" customWidth="1"/>
    <col min="3" max="4" width="12.5703125" bestFit="1" customWidth="1"/>
    <col min="6" max="6" width="10.140625" bestFit="1" customWidth="1"/>
  </cols>
  <sheetData>
    <row r="1" spans="1:7" x14ac:dyDescent="0.2">
      <c r="A1" t="s">
        <v>102</v>
      </c>
      <c r="B1" t="s">
        <v>103</v>
      </c>
      <c r="C1" t="s">
        <v>105</v>
      </c>
      <c r="D1" t="s">
        <v>104</v>
      </c>
      <c r="E1" t="s">
        <v>106</v>
      </c>
      <c r="F1" t="s">
        <v>107</v>
      </c>
      <c r="G1" t="s">
        <v>109</v>
      </c>
    </row>
    <row r="2" spans="1:7" x14ac:dyDescent="0.2">
      <c r="A2" t="str">
        <f>ChlaCalc!A10</f>
        <v>StonyCreek-071017</v>
      </c>
      <c r="B2">
        <f>ChlaCalc!C10</f>
        <v>0.04</v>
      </c>
      <c r="C2">
        <f>ChlaCalc!H10</f>
        <v>-6.1108764838564159E-2</v>
      </c>
      <c r="D2">
        <f>ChlaCalc!I10</f>
        <v>-1.5277191209641039</v>
      </c>
      <c r="E2" t="s">
        <v>108</v>
      </c>
      <c r="F2" s="33">
        <v>42926</v>
      </c>
      <c r="G2" t="s">
        <v>110</v>
      </c>
    </row>
    <row r="3" spans="1:7" x14ac:dyDescent="0.2">
      <c r="A3" t="str">
        <f>ChlaCalc!A11</f>
        <v>StonyCreek-071017-DUP</v>
      </c>
      <c r="B3">
        <f>ChlaCalc!C11</f>
        <v>3.1E-2</v>
      </c>
      <c r="C3">
        <f>ChlaCalc!H11</f>
        <v>-6.5968810809649628E-2</v>
      </c>
      <c r="D3">
        <f>ChlaCalc!I11</f>
        <v>-2.1280261551499882</v>
      </c>
      <c r="E3" t="s">
        <v>108</v>
      </c>
      <c r="F3" s="33">
        <v>42926</v>
      </c>
      <c r="G3" t="s">
        <v>111</v>
      </c>
    </row>
    <row r="4" spans="1:7" x14ac:dyDescent="0.2">
      <c r="A4" t="str">
        <f>ChlaCalc!A12</f>
        <v>27-SS02LU-071217</v>
      </c>
      <c r="B4">
        <f>ChlaCalc!C12</f>
        <v>2.13</v>
      </c>
      <c r="C4">
        <f>ChlaCalc!H12</f>
        <v>0.71986693922794354</v>
      </c>
      <c r="D4">
        <f>ChlaCalc!I12</f>
        <v>0.33796569916804864</v>
      </c>
      <c r="E4">
        <v>27</v>
      </c>
      <c r="F4" s="33">
        <v>42928</v>
      </c>
      <c r="G4" t="s">
        <v>110</v>
      </c>
    </row>
    <row r="5" spans="1:7" x14ac:dyDescent="0.2">
      <c r="A5" t="str">
        <f>ChlaCalc!A13</f>
        <v>48-SS08LI-071217</v>
      </c>
      <c r="B5">
        <f>ChlaCalc!C13</f>
        <v>2E-3</v>
      </c>
      <c r="C5">
        <f>ChlaCalc!H13</f>
        <v>-5.5550989495392153E-2</v>
      </c>
      <c r="D5">
        <f>ChlaCalc!I13</f>
        <v>-27.775494747696076</v>
      </c>
      <c r="E5">
        <v>48</v>
      </c>
      <c r="F5" s="33">
        <v>42928</v>
      </c>
      <c r="G5" t="s">
        <v>110</v>
      </c>
    </row>
    <row r="6" spans="1:7" x14ac:dyDescent="0.2">
      <c r="A6" t="str">
        <f>ChlaCalc!A14</f>
        <v>13-SS02MU-071317</v>
      </c>
      <c r="B6">
        <f>ChlaCalc!C14</f>
        <v>0.41499999999999998</v>
      </c>
      <c r="C6">
        <f>ChlaCalc!H14</f>
        <v>9.4460825503211526E-2</v>
      </c>
      <c r="D6">
        <f>ChlaCalc!I14</f>
        <v>0.22761644699569045</v>
      </c>
      <c r="E6">
        <v>13</v>
      </c>
      <c r="F6" s="33">
        <v>42929</v>
      </c>
      <c r="G6" t="s">
        <v>110</v>
      </c>
    </row>
    <row r="7" spans="1:7" x14ac:dyDescent="0.2">
      <c r="A7" t="str">
        <f>ChlaCalc!A15</f>
        <v>26-SS01LU-071417</v>
      </c>
      <c r="B7">
        <f>ChlaCalc!C15</f>
        <v>3</v>
      </c>
      <c r="C7">
        <f>ChlaCalc!H15</f>
        <v>1.5425208481020891E-3</v>
      </c>
      <c r="D7">
        <f>ChlaCalc!I15</f>
        <v>5.1417361603402971E-4</v>
      </c>
      <c r="E7">
        <v>26</v>
      </c>
      <c r="F7" s="33">
        <v>42930</v>
      </c>
      <c r="G7" t="s">
        <v>110</v>
      </c>
    </row>
    <row r="8" spans="1:7" x14ac:dyDescent="0.2">
      <c r="A8" t="str">
        <f>ChlaCalc!A16</f>
        <v>30-SS01FU-071417</v>
      </c>
      <c r="B8">
        <f>ChlaCalc!C16</f>
        <v>2.4750000000000001</v>
      </c>
      <c r="C8">
        <f>ChlaCalc!H16</f>
        <v>0.40338651990290209</v>
      </c>
      <c r="D8">
        <f>ChlaCalc!I16</f>
        <v>0.16298445248602103</v>
      </c>
      <c r="E8">
        <v>30</v>
      </c>
      <c r="F8" s="33">
        <v>42930</v>
      </c>
      <c r="G8" t="s">
        <v>110</v>
      </c>
    </row>
    <row r="9" spans="1:7" x14ac:dyDescent="0.2">
      <c r="A9" t="str">
        <f>ChlaCalc!A17</f>
        <v>42-SS01BI-071517</v>
      </c>
      <c r="B9">
        <f>ChlaCalc!C17</f>
        <v>0.01</v>
      </c>
      <c r="C9">
        <f>ChlaCalc!H17</f>
        <v>-5.1508971063994331E-2</v>
      </c>
      <c r="D9">
        <f>ChlaCalc!I17</f>
        <v>-5.1508971063994329</v>
      </c>
      <c r="E9">
        <v>42</v>
      </c>
      <c r="F9" s="33">
        <v>42931</v>
      </c>
      <c r="G9" t="s">
        <v>110</v>
      </c>
    </row>
    <row r="10" spans="1:7" x14ac:dyDescent="0.2">
      <c r="A10" t="str">
        <f>ChlaCalc!A18</f>
        <v>42-SS01BI-071517 - DUP</v>
      </c>
      <c r="B10">
        <f>ChlaCalc!C18</f>
        <v>0.01</v>
      </c>
      <c r="C10">
        <f>ChlaCalc!H18</f>
        <v>-6.2816998818500142E-2</v>
      </c>
      <c r="D10">
        <f>ChlaCalc!I18</f>
        <v>-6.281699881850014</v>
      </c>
      <c r="E10">
        <v>42</v>
      </c>
      <c r="F10" s="33">
        <v>42931</v>
      </c>
      <c r="G10" t="s">
        <v>111</v>
      </c>
    </row>
    <row r="11" spans="1:7" x14ac:dyDescent="0.2">
      <c r="A11" t="str">
        <f>ChlaCalc!A19</f>
        <v>53-SS01LU-alt2-071517</v>
      </c>
      <c r="B11">
        <f>ChlaCalc!C19</f>
        <v>6.9249999999999998</v>
      </c>
      <c r="C11">
        <f>ChlaCalc!H19</f>
        <v>1.1586424757362892</v>
      </c>
      <c r="D11">
        <f>ChlaCalc!I19</f>
        <v>0.16731299288610674</v>
      </c>
      <c r="E11">
        <v>53</v>
      </c>
      <c r="F11" s="33">
        <v>42931</v>
      </c>
      <c r="G11" t="s">
        <v>110</v>
      </c>
    </row>
    <row r="12" spans="1:7" x14ac:dyDescent="0.2">
      <c r="A12" t="str">
        <f>ChlaCalc!A20</f>
        <v>0-SS02BI-071717</v>
      </c>
      <c r="B12">
        <f>ChlaCalc!C20</f>
        <v>8.0000000000000004E-4</v>
      </c>
      <c r="C12">
        <f>ChlaCalc!H20</f>
        <v>2.8513370024274433E-2</v>
      </c>
      <c r="D12">
        <f>ChlaCalc!I20</f>
        <v>35.641712530343042</v>
      </c>
      <c r="E12">
        <v>0</v>
      </c>
      <c r="F12" s="33">
        <v>42933</v>
      </c>
      <c r="G12" t="s">
        <v>110</v>
      </c>
    </row>
    <row r="13" spans="1:7" x14ac:dyDescent="0.2">
      <c r="A13" t="str">
        <f>ChlaCalc!A21</f>
        <v>6-SS02MI-071717</v>
      </c>
      <c r="B13">
        <f>ChlaCalc!C21</f>
        <v>0.79</v>
      </c>
      <c r="C13">
        <f>ChlaCalc!H21</f>
        <v>-2.0423645464114548E-3</v>
      </c>
      <c r="D13">
        <f>ChlaCalc!I21</f>
        <v>-2.5852715777360184E-3</v>
      </c>
      <c r="E13">
        <v>6</v>
      </c>
      <c r="F13" s="33">
        <v>42933</v>
      </c>
      <c r="G13" t="s">
        <v>110</v>
      </c>
    </row>
    <row r="14" spans="1:7" x14ac:dyDescent="0.2">
      <c r="A14" t="str">
        <f>ChlaCalc!A22</f>
        <v>9-SS05MI-071717</v>
      </c>
      <c r="B14">
        <f>ChlaCalc!C22</f>
        <v>3.4000000000000002E-2</v>
      </c>
      <c r="C14">
        <f>ChlaCalc!H22</f>
        <v>3.1111810444458744E-2</v>
      </c>
      <c r="D14">
        <f>ChlaCalc!I22</f>
        <v>0.91505324836643354</v>
      </c>
      <c r="E14" t="s">
        <v>117</v>
      </c>
      <c r="F14" s="33">
        <v>42933</v>
      </c>
      <c r="G14" t="s">
        <v>110</v>
      </c>
    </row>
    <row r="15" spans="1:7" x14ac:dyDescent="0.2">
      <c r="A15" t="str">
        <f>ChlaCalc!A23</f>
        <v>23-SS05LI-072017</v>
      </c>
      <c r="B15">
        <f>ChlaCalc!C23</f>
        <v>0.01</v>
      </c>
      <c r="C15">
        <f>ChlaCalc!H23</f>
        <v>-4.8092503104122365E-2</v>
      </c>
      <c r="D15">
        <f>ChlaCalc!I23</f>
        <v>-4.8092503104122368</v>
      </c>
      <c r="E15">
        <v>23</v>
      </c>
      <c r="F15" s="33">
        <v>42936</v>
      </c>
      <c r="G15" t="s">
        <v>110</v>
      </c>
    </row>
    <row r="16" spans="1:7" x14ac:dyDescent="0.2">
      <c r="A16" t="str">
        <f>ChlaCalc!A24</f>
        <v>37-SS04OI-072017</v>
      </c>
      <c r="B16">
        <f>ChlaCalc!C24</f>
        <v>0.05</v>
      </c>
      <c r="C16">
        <f>ChlaCalc!H24</f>
        <v>-3.7674681789864876E-2</v>
      </c>
      <c r="D16">
        <f>ChlaCalc!I24</f>
        <v>-0.75349363579729745</v>
      </c>
      <c r="E16">
        <v>37</v>
      </c>
      <c r="F16" s="33">
        <v>42936</v>
      </c>
      <c r="G16" t="s">
        <v>110</v>
      </c>
    </row>
    <row r="17" spans="1:7" x14ac:dyDescent="0.2">
      <c r="A17" t="str">
        <f>ChlaCalc!A25</f>
        <v>24-SS06LU-072017</v>
      </c>
      <c r="B17">
        <f>ChlaCalc!C25</f>
        <v>8</v>
      </c>
      <c r="C17">
        <f>ChlaCalc!H25</f>
        <v>0.67533255758200683</v>
      </c>
      <c r="D17">
        <f>ChlaCalc!I25</f>
        <v>8.4416569697750854E-2</v>
      </c>
      <c r="E17">
        <v>24</v>
      </c>
      <c r="F17" s="33">
        <v>42936</v>
      </c>
      <c r="G17" t="s">
        <v>110</v>
      </c>
    </row>
    <row r="18" spans="1:7" x14ac:dyDescent="0.2">
      <c r="A18" t="str">
        <f>ChlaCalc!A26</f>
        <v>29-SS04LU-072017</v>
      </c>
      <c r="B18">
        <f>ChlaCalc!C26</f>
        <v>1.5</v>
      </c>
      <c r="C18">
        <f>ChlaCalc!H26</f>
        <v>0.37975995978604105</v>
      </c>
      <c r="D18">
        <f>ChlaCalc!I26</f>
        <v>0.25317330652402736</v>
      </c>
      <c r="E18">
        <v>29</v>
      </c>
      <c r="F18" s="33">
        <v>42936</v>
      </c>
      <c r="G18" t="s">
        <v>110</v>
      </c>
    </row>
    <row r="19" spans="1:7" x14ac:dyDescent="0.2">
      <c r="A19" t="str">
        <f>ChlaCalc!A27</f>
        <v>35-SS02OI-072017</v>
      </c>
      <c r="B19">
        <f>ChlaCalc!C27</f>
        <v>0.216</v>
      </c>
      <c r="C19">
        <f>ChlaCalc!H27</f>
        <v>0.19081965775171311</v>
      </c>
      <c r="D19">
        <f>ChlaCalc!I27</f>
        <v>0.88342434144311632</v>
      </c>
      <c r="E19">
        <v>35</v>
      </c>
      <c r="F19" s="33">
        <v>42936</v>
      </c>
      <c r="G19" t="s">
        <v>110</v>
      </c>
    </row>
    <row r="20" spans="1:7" x14ac:dyDescent="0.2">
      <c r="A20" t="str">
        <f>ChlaCalc!A28</f>
        <v>36-SS03OI-072017</v>
      </c>
      <c r="B20">
        <f>ChlaCalc!C28</f>
        <v>1.5</v>
      </c>
      <c r="C20">
        <f>ChlaCalc!H28</f>
        <v>0.41390057975124056</v>
      </c>
      <c r="D20">
        <f>ChlaCalc!I28</f>
        <v>0.27593371983416037</v>
      </c>
      <c r="E20">
        <v>36</v>
      </c>
      <c r="F20" s="33">
        <v>42936</v>
      </c>
      <c r="G20" t="s">
        <v>110</v>
      </c>
    </row>
    <row r="21" spans="1:7" x14ac:dyDescent="0.2">
      <c r="A21" t="str">
        <f>ChlaCalc!A29</f>
        <v>38-SS01OI-072017</v>
      </c>
      <c r="B21">
        <f>ChlaCalc!C29</f>
        <v>1.7999999999999999E-2</v>
      </c>
      <c r="C21">
        <f>ChlaCalc!H29</f>
        <v>-5.6031903074047901E-3</v>
      </c>
      <c r="D21">
        <f>ChlaCalc!I29</f>
        <v>-0.31128835041137726</v>
      </c>
      <c r="E21">
        <v>38</v>
      </c>
      <c r="F21" s="33">
        <v>42936</v>
      </c>
      <c r="G21" t="s">
        <v>110</v>
      </c>
    </row>
    <row r="22" spans="1:7" x14ac:dyDescent="0.2">
      <c r="A22" t="str">
        <f>ChlaCalc!A30</f>
        <v>BLANK1-072017-TRAVEL</v>
      </c>
      <c r="B22">
        <f>ChlaCalc!C30</f>
        <v>0.1</v>
      </c>
      <c r="C22">
        <f>ChlaCalc!H30</f>
        <v>-7.8431700973126239E-2</v>
      </c>
      <c r="D22">
        <f>ChlaCalc!I30</f>
        <v>-0.78431700973126239</v>
      </c>
      <c r="E22" t="s">
        <v>113</v>
      </c>
      <c r="F22" s="33">
        <v>42936</v>
      </c>
      <c r="G22" t="s">
        <v>112</v>
      </c>
    </row>
    <row r="23" spans="1:7" x14ac:dyDescent="0.2">
      <c r="A23" t="str">
        <f>ChlaCalc!A31</f>
        <v>3-SS04BU-072217</v>
      </c>
      <c r="B23">
        <f>ChlaCalc!C31</f>
        <v>1.5</v>
      </c>
      <c r="C23">
        <f>ChlaCalc!H31</f>
        <v>0.14965362479860794</v>
      </c>
      <c r="D23">
        <f>ChlaCalc!I31</f>
        <v>9.9769083199071962E-2</v>
      </c>
      <c r="E23">
        <v>3</v>
      </c>
      <c r="F23" s="33">
        <v>42938</v>
      </c>
      <c r="G23" t="s">
        <v>110</v>
      </c>
    </row>
    <row r="24" spans="1:7" x14ac:dyDescent="0.2">
      <c r="A24" t="str">
        <f>ChlaCalc!A32</f>
        <v>8-SS04MI-072217</v>
      </c>
      <c r="B24">
        <f>ChlaCalc!C32</f>
        <v>1.5</v>
      </c>
      <c r="C24">
        <f>ChlaCalc!H32</f>
        <v>0.45408016773001647</v>
      </c>
      <c r="D24">
        <f>ChlaCalc!I32</f>
        <v>0.30272011182001096</v>
      </c>
      <c r="E24">
        <v>8</v>
      </c>
      <c r="F24" s="33">
        <v>42938</v>
      </c>
      <c r="G24" t="s">
        <v>110</v>
      </c>
    </row>
    <row r="25" spans="1:7" x14ac:dyDescent="0.2">
      <c r="A25" t="str">
        <f>ChlaCalc!A33</f>
        <v>5-SS01MI-072217</v>
      </c>
      <c r="B25">
        <f>ChlaCalc!C33</f>
        <v>4.0000000000000001E-3</v>
      </c>
      <c r="C25">
        <f>ChlaCalc!H33</f>
        <v>-6.6065049343730545E-2</v>
      </c>
      <c r="D25">
        <f>ChlaCalc!I33</f>
        <v>-16.516262335932637</v>
      </c>
      <c r="E25">
        <v>5</v>
      </c>
      <c r="F25" s="33">
        <v>42938</v>
      </c>
      <c r="G25" t="s">
        <v>110</v>
      </c>
    </row>
    <row r="26" spans="1:7" x14ac:dyDescent="0.2">
      <c r="A26" t="str">
        <f>ChlaCalc!A34</f>
        <v>5-SS01MI-072217-DUP</v>
      </c>
      <c r="B26">
        <f>ChlaCalc!C34</f>
        <v>4.0000000000000001E-3</v>
      </c>
      <c r="C26">
        <f>ChlaCalc!H34</f>
        <v>-6.3346310755945087E-2</v>
      </c>
      <c r="D26">
        <f>ChlaCalc!I34</f>
        <v>-15.836577688986271</v>
      </c>
      <c r="E26">
        <v>5</v>
      </c>
      <c r="F26" s="33">
        <v>42938</v>
      </c>
      <c r="G26" t="s">
        <v>111</v>
      </c>
    </row>
    <row r="27" spans="1:7" x14ac:dyDescent="0.2">
      <c r="A27" t="str">
        <f>ChlaCalc!A35</f>
        <v>10-SS06MI-072217</v>
      </c>
      <c r="B27">
        <f>ChlaCalc!C35</f>
        <v>4.0000000000000001E-3</v>
      </c>
      <c r="C27">
        <f>ChlaCalc!H35</f>
        <v>-5.7475760177010157E-2</v>
      </c>
      <c r="D27">
        <f>ChlaCalc!I35</f>
        <v>-14.36894004425254</v>
      </c>
      <c r="E27">
        <v>10</v>
      </c>
      <c r="F27" s="33">
        <v>42938</v>
      </c>
      <c r="G27" t="s">
        <v>110</v>
      </c>
    </row>
    <row r="28" spans="1:7" x14ac:dyDescent="0.2">
      <c r="A28" t="str">
        <f>ChlaCalc!A36</f>
        <v>10-SS06MI-072217-DUP</v>
      </c>
      <c r="B28">
        <f>ChlaCalc!C36</f>
        <v>4.0000000000000001E-3</v>
      </c>
      <c r="C28">
        <f>ChlaCalc!H36</f>
        <v>-5.9256173057506828E-2</v>
      </c>
      <c r="D28">
        <f>ChlaCalc!I36</f>
        <v>-14.814043264376707</v>
      </c>
      <c r="E28">
        <v>10</v>
      </c>
      <c r="F28" s="33">
        <v>42938</v>
      </c>
      <c r="G28" t="s">
        <v>111</v>
      </c>
    </row>
    <row r="29" spans="1:7" x14ac:dyDescent="0.2">
      <c r="A29" t="str">
        <f>ChlaCalc!A37</f>
        <v>14-SS03MU-072217*</v>
      </c>
      <c r="B29">
        <f>ChlaCalc!C37</f>
        <v>0.3</v>
      </c>
      <c r="C29">
        <f>ChlaCalc!H37</f>
        <v>0.2667999804085841</v>
      </c>
      <c r="D29">
        <f>ChlaCalc!I37</f>
        <v>0.88933326802861368</v>
      </c>
      <c r="E29">
        <v>14</v>
      </c>
      <c r="F29" s="33">
        <v>42938</v>
      </c>
      <c r="G29" t="s">
        <v>110</v>
      </c>
    </row>
    <row r="30" spans="1:7" x14ac:dyDescent="0.2">
      <c r="A30" t="str">
        <f>ChlaCalc!A38</f>
        <v>14-SS03MU-072217-DUP*</v>
      </c>
      <c r="B30">
        <f>ChlaCalc!C38</f>
        <v>0.27</v>
      </c>
      <c r="C30">
        <f>ChlaCalc!H38</f>
        <v>0.22835268604326434</v>
      </c>
      <c r="D30">
        <f>ChlaCalc!I38</f>
        <v>0.84575068904912709</v>
      </c>
      <c r="E30">
        <v>14</v>
      </c>
      <c r="F30" s="33">
        <v>42938</v>
      </c>
      <c r="G30" t="s">
        <v>111</v>
      </c>
    </row>
    <row r="31" spans="1:7" x14ac:dyDescent="0.2">
      <c r="A31" t="str">
        <f>ChlaCalc!A39</f>
        <v>19-SS01LI-072217</v>
      </c>
      <c r="B31">
        <f>ChlaCalc!C39</f>
        <v>2.3E-2</v>
      </c>
      <c r="C31">
        <f>ChlaCalc!H39</f>
        <v>-4.101897084917619E-2</v>
      </c>
      <c r="D31">
        <f>ChlaCalc!I39</f>
        <v>-1.7834335151815734</v>
      </c>
      <c r="E31">
        <v>19</v>
      </c>
      <c r="F31" s="33">
        <v>42938</v>
      </c>
      <c r="G31" t="s">
        <v>110</v>
      </c>
    </row>
    <row r="32" spans="1:7" x14ac:dyDescent="0.2">
      <c r="A32" t="str">
        <f>ChlaCalc!A40</f>
        <v>19-SS01LI-072217-DUP</v>
      </c>
      <c r="B32">
        <f>ChlaCalc!C40</f>
        <v>2.1999999999999999E-2</v>
      </c>
      <c r="C32">
        <f>ChlaCalc!H40</f>
        <v>-4.7081998496272905E-2</v>
      </c>
      <c r="D32">
        <f>ChlaCalc!I40</f>
        <v>-2.1400908407396777</v>
      </c>
      <c r="E32">
        <v>19</v>
      </c>
      <c r="F32" s="33">
        <v>42938</v>
      </c>
      <c r="G32" t="s">
        <v>111</v>
      </c>
    </row>
    <row r="33" spans="1:7" x14ac:dyDescent="0.2">
      <c r="A33" t="str">
        <f>ChlaCalc!A41</f>
        <v>20-SS02LI-072217</v>
      </c>
      <c r="B33">
        <f>ChlaCalc!C41</f>
        <v>4.0000000000000001E-3</v>
      </c>
      <c r="C33">
        <f>ChlaCalc!H41</f>
        <v>-5.6850209705484309E-2</v>
      </c>
      <c r="D33">
        <f>ChlaCalc!I41</f>
        <v>-14.212552426371078</v>
      </c>
      <c r="E33">
        <v>20</v>
      </c>
      <c r="F33" s="33">
        <v>42938</v>
      </c>
      <c r="G33" t="s">
        <v>110</v>
      </c>
    </row>
    <row r="34" spans="1:7" x14ac:dyDescent="0.2">
      <c r="A34" t="str">
        <f>ChlaCalc!A42</f>
        <v>20-SS02LI-072217-DUP</v>
      </c>
      <c r="B34">
        <f>ChlaCalc!C42</f>
        <v>4.0000000000000001E-3</v>
      </c>
      <c r="C34">
        <f>ChlaCalc!H42</f>
        <v>-5.6489315202680933E-2</v>
      </c>
      <c r="D34">
        <f>ChlaCalc!I42</f>
        <v>-14.122328800670234</v>
      </c>
      <c r="E34">
        <v>20</v>
      </c>
      <c r="F34" s="33">
        <v>42938</v>
      </c>
      <c r="G34" t="s">
        <v>111</v>
      </c>
    </row>
    <row r="35" spans="1:7" x14ac:dyDescent="0.2">
      <c r="A35" t="str">
        <f>ChlaCalc!A43</f>
        <v>SC-3B-072717</v>
      </c>
      <c r="B35">
        <f>ChlaCalc!C43</f>
        <v>2.1999999999999999E-2</v>
      </c>
      <c r="C35">
        <f>ChlaCalc!H43</f>
        <v>-5.9496769392709072E-2</v>
      </c>
      <c r="D35">
        <f>ChlaCalc!I43</f>
        <v>-2.7043986087595036</v>
      </c>
      <c r="E35" t="s">
        <v>114</v>
      </c>
      <c r="F35" s="33">
        <v>42943</v>
      </c>
      <c r="G35" t="s">
        <v>110</v>
      </c>
    </row>
    <row r="36" spans="1:7" x14ac:dyDescent="0.2">
      <c r="A36" t="str">
        <f>ChlaCalc!A44</f>
        <v>DC-3-072715</v>
      </c>
      <c r="B36">
        <f>ChlaCalc!C44</f>
        <v>0.01</v>
      </c>
      <c r="C36">
        <f>ChlaCalc!H44</f>
        <v>-1.6742800627269031E-2</v>
      </c>
      <c r="D36">
        <f>ChlaCalc!I44</f>
        <v>-1.674280062726903</v>
      </c>
      <c r="E36" t="s">
        <v>115</v>
      </c>
      <c r="F36" s="33">
        <v>42943</v>
      </c>
      <c r="G36" t="s">
        <v>110</v>
      </c>
    </row>
    <row r="37" spans="1:7" x14ac:dyDescent="0.2">
      <c r="A37" t="str">
        <f>ChlaCalc!A45</f>
        <v>DC-4-072717</v>
      </c>
      <c r="B37">
        <f>ChlaCalc!C45</f>
        <v>2.4E-2</v>
      </c>
      <c r="C37">
        <f>ChlaCalc!H45</f>
        <v>-1.794578230328028E-2</v>
      </c>
      <c r="D37">
        <f>ChlaCalc!I45</f>
        <v>-0.74774092930334501</v>
      </c>
      <c r="E37" t="s">
        <v>116</v>
      </c>
      <c r="F37" s="33">
        <v>42943</v>
      </c>
      <c r="G37" t="s">
        <v>110</v>
      </c>
    </row>
    <row r="38" spans="1:7" x14ac:dyDescent="0.2">
      <c r="A38" t="str">
        <f>ChlaCalc!A46</f>
        <v>31-SS02FU-072917</v>
      </c>
      <c r="B38">
        <f>ChlaCalc!C46</f>
        <v>1.5</v>
      </c>
      <c r="C38">
        <f>ChlaCalc!H46</f>
        <v>-6.5271081437563119E-2</v>
      </c>
      <c r="D38">
        <f>ChlaCalc!I46</f>
        <v>-4.3514054291708744E-2</v>
      </c>
      <c r="E38">
        <v>31</v>
      </c>
      <c r="F38" s="33">
        <v>42945</v>
      </c>
      <c r="G38" t="s">
        <v>110</v>
      </c>
    </row>
    <row r="39" spans="1:7" x14ac:dyDescent="0.2">
      <c r="A39" t="str">
        <f>ChlaCalc!A47</f>
        <v>32-SS03FU-072917</v>
      </c>
      <c r="B39">
        <f>ChlaCalc!C47</f>
        <v>1.5</v>
      </c>
      <c r="C39">
        <f>ChlaCalc!H47</f>
        <v>1.2826488969087656E-2</v>
      </c>
      <c r="D39">
        <f>ChlaCalc!I47</f>
        <v>8.550992646058438E-3</v>
      </c>
      <c r="E39">
        <v>32</v>
      </c>
      <c r="F39" s="33">
        <v>42945</v>
      </c>
      <c r="G39" t="s">
        <v>110</v>
      </c>
    </row>
    <row r="40" spans="1:7" x14ac:dyDescent="0.2">
      <c r="A40" t="str">
        <f>ChlaCalc!A48</f>
        <v>7-SS03MI-073017</v>
      </c>
      <c r="B40">
        <f>ChlaCalc!C48</f>
        <v>1.9E-2</v>
      </c>
      <c r="C40">
        <f>ChlaCalc!H48</f>
        <v>-7.6651288092629596E-2</v>
      </c>
      <c r="D40">
        <f>ChlaCalc!I48</f>
        <v>-4.0342783206647157</v>
      </c>
      <c r="E40">
        <v>7</v>
      </c>
      <c r="F40" s="33">
        <v>42946</v>
      </c>
      <c r="G40" t="s">
        <v>110</v>
      </c>
    </row>
    <row r="41" spans="1:7" x14ac:dyDescent="0.2">
      <c r="A41" t="str">
        <f>ChlaCalc!A49</f>
        <v>57-SS06MI-alt1-073017</v>
      </c>
      <c r="B41">
        <f>ChlaCalc!C49</f>
        <v>3.0000000000000001E-3</v>
      </c>
      <c r="C41">
        <f>ChlaCalc!H49</f>
        <v>5.9526237631844621E-2</v>
      </c>
      <c r="D41">
        <f>ChlaCalc!I49</f>
        <v>19.842079210614873</v>
      </c>
      <c r="E41">
        <v>57</v>
      </c>
      <c r="F41" s="33">
        <v>42946</v>
      </c>
      <c r="G41" t="s">
        <v>110</v>
      </c>
    </row>
    <row r="42" spans="1:7" x14ac:dyDescent="0.2">
      <c r="A42" t="str">
        <f>ChlaCalc!A50</f>
        <v>1-SS02BU-080317</v>
      </c>
      <c r="B42">
        <f>ChlaCalc!C50</f>
        <v>1.5</v>
      </c>
      <c r="C42">
        <f>ChlaCalc!H50</f>
        <v>5.5051145797082743E-2</v>
      </c>
      <c r="D42">
        <f>ChlaCalc!I50</f>
        <v>3.6700763864721826E-2</v>
      </c>
      <c r="E42">
        <v>1</v>
      </c>
      <c r="F42" s="33">
        <v>42950</v>
      </c>
      <c r="G42" t="s">
        <v>110</v>
      </c>
    </row>
    <row r="43" spans="1:7" x14ac:dyDescent="0.2">
      <c r="A43" t="str">
        <f>ChlaCalc!A51</f>
        <v>45-SS03BU-alt2-080317</v>
      </c>
      <c r="B43">
        <f>ChlaCalc!C51</f>
        <v>2.1150000000000002</v>
      </c>
      <c r="C43">
        <f>ChlaCalc!H51</f>
        <v>1.1936282528839335E-2</v>
      </c>
      <c r="D43">
        <f>ChlaCalc!I51</f>
        <v>5.643632401342474E-3</v>
      </c>
      <c r="E43">
        <v>45</v>
      </c>
      <c r="F43" s="33">
        <v>42950</v>
      </c>
      <c r="G43" t="s">
        <v>110</v>
      </c>
    </row>
    <row r="44" spans="1:7" x14ac:dyDescent="0.2">
      <c r="A44" t="str">
        <f>ChlaCalc!A52</f>
        <v>62-SS06MU-080517</v>
      </c>
      <c r="B44">
        <f>ChlaCalc!C52</f>
        <v>0.25</v>
      </c>
      <c r="C44">
        <f>ChlaCalc!H52</f>
        <v>0.10896878451590727</v>
      </c>
      <c r="D44">
        <f>ChlaCalc!I52</f>
        <v>0.4358751380636291</v>
      </c>
      <c r="E44">
        <v>62</v>
      </c>
      <c r="F44" s="33">
        <v>42952</v>
      </c>
      <c r="G44" t="s">
        <v>110</v>
      </c>
    </row>
    <row r="45" spans="1:7" x14ac:dyDescent="0.2">
      <c r="A45" t="str">
        <f>ChlaCalc!A53</f>
        <v>71-SS05LU-080517</v>
      </c>
      <c r="B45">
        <f>ChlaCalc!C53</f>
        <v>1.5</v>
      </c>
      <c r="C45">
        <f>ChlaCalc!H53</f>
        <v>0.66149826830787739</v>
      </c>
      <c r="D45">
        <f>ChlaCalc!I53</f>
        <v>0.44099884553858493</v>
      </c>
      <c r="E45">
        <v>71</v>
      </c>
      <c r="F45" s="33">
        <v>42952</v>
      </c>
      <c r="G45" t="s">
        <v>110</v>
      </c>
    </row>
    <row r="46" spans="1:7" x14ac:dyDescent="0.2">
      <c r="A46" t="str">
        <f>ChlaCalc!A54</f>
        <v>Blank1-080717</v>
      </c>
      <c r="B46">
        <f>ChlaCalc!C54</f>
        <v>1.0999999999999999E-2</v>
      </c>
      <c r="C46">
        <f>ChlaCalc!H54</f>
        <v>-5.7283283108848358E-2</v>
      </c>
      <c r="D46">
        <f>ChlaCalc!I54</f>
        <v>-5.2075711917134875</v>
      </c>
      <c r="E46" t="s">
        <v>113</v>
      </c>
      <c r="F46" s="33">
        <v>42954</v>
      </c>
      <c r="G46" t="s">
        <v>112</v>
      </c>
    </row>
    <row r="47" spans="1:7" x14ac:dyDescent="0.2">
      <c r="A47" t="str">
        <f>ChlaCalc!A55</f>
        <v>StonyCreek-080717</v>
      </c>
      <c r="B47">
        <f>ChlaCalc!C55</f>
        <v>5.0999999999999997E-2</v>
      </c>
      <c r="C47">
        <f>ChlaCalc!H55</f>
        <v>-5.2326998603681986E-2</v>
      </c>
      <c r="D47">
        <f>ChlaCalc!I55</f>
        <v>-1.0260195804643528</v>
      </c>
      <c r="E47" t="s">
        <v>108</v>
      </c>
      <c r="F47" s="33">
        <v>42954</v>
      </c>
      <c r="G47" t="s">
        <v>110</v>
      </c>
    </row>
    <row r="48" spans="1:7" x14ac:dyDescent="0.2">
      <c r="A48" t="str">
        <f>ChlaCalc!A56</f>
        <v>StonyCreek-080717-DUP</v>
      </c>
      <c r="B48">
        <f>ChlaCalc!C56</f>
        <v>4.2999999999999997E-2</v>
      </c>
      <c r="C48">
        <f>ChlaCalc!H56</f>
        <v>-6.0411035466477622E-2</v>
      </c>
      <c r="D48">
        <f>ChlaCalc!I56</f>
        <v>-1.4049078015459913</v>
      </c>
      <c r="E48" t="s">
        <v>108</v>
      </c>
      <c r="F48" s="33">
        <v>42954</v>
      </c>
      <c r="G48" t="s">
        <v>111</v>
      </c>
    </row>
    <row r="49" spans="1:7" x14ac:dyDescent="0.2">
      <c r="A49" t="str">
        <f>ChlaCalc!A57</f>
        <v>12-SS01MU-080917</v>
      </c>
      <c r="B49">
        <f>ChlaCalc!C57</f>
        <v>0.5</v>
      </c>
      <c r="C49">
        <f>ChlaCalc!H57</f>
        <v>0.83275473970483971</v>
      </c>
      <c r="D49">
        <f>ChlaCalc!I57</f>
        <v>1.6655094794096794</v>
      </c>
      <c r="E49" s="49" t="s">
        <v>119</v>
      </c>
      <c r="F49" s="33">
        <v>42956</v>
      </c>
      <c r="G49" t="s">
        <v>110</v>
      </c>
    </row>
    <row r="50" spans="1:7" x14ac:dyDescent="0.2">
      <c r="A50" t="str">
        <f>ChlaCalc!A58</f>
        <v>40-SS02BU-alt1-080917</v>
      </c>
      <c r="B50">
        <f>ChlaCalc!C58</f>
        <v>1.5</v>
      </c>
      <c r="C50">
        <f>ChlaCalc!H58</f>
        <v>5.6157888939013127E-2</v>
      </c>
      <c r="D50">
        <f>ChlaCalc!I58</f>
        <v>3.7438592626008751E-2</v>
      </c>
      <c r="E50" t="s">
        <v>118</v>
      </c>
      <c r="F50" s="33">
        <v>42956</v>
      </c>
      <c r="G50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"/>
  <sheetViews>
    <sheetView topLeftCell="A22" workbookViewId="0">
      <selection activeCell="K4" sqref="K4"/>
    </sheetView>
  </sheetViews>
  <sheetFormatPr defaultColWidth="11.42578125" defaultRowHeight="15" x14ac:dyDescent="0.2"/>
  <cols>
    <col min="1" max="1" width="3.42578125" style="41" bestFit="1" customWidth="1"/>
    <col min="2" max="2" width="25" style="41" bestFit="1" customWidth="1"/>
    <col min="3" max="3" width="17.7109375" style="41" bestFit="1" customWidth="1"/>
    <col min="4" max="4" width="22.140625" style="41" bestFit="1" customWidth="1"/>
    <col min="5" max="5" width="10.85546875" style="41"/>
    <col min="6" max="6" width="7" style="41" bestFit="1" customWidth="1"/>
    <col min="7" max="7" width="20.140625" style="41" bestFit="1" customWidth="1"/>
    <col min="8" max="10" width="14.28515625" style="41" bestFit="1" customWidth="1"/>
    <col min="11" max="11" width="12.28515625" style="41" bestFit="1" customWidth="1"/>
    <col min="12" max="12" width="14" style="41" bestFit="1" customWidth="1"/>
    <col min="13" max="13" width="8.7109375" bestFit="1" customWidth="1"/>
  </cols>
  <sheetData>
    <row r="1" spans="1:12" x14ac:dyDescent="0.2">
      <c r="A1" s="41" t="s">
        <v>97</v>
      </c>
      <c r="D1" s="46" t="s">
        <v>96</v>
      </c>
    </row>
    <row r="2" spans="1:12" ht="15.75" x14ac:dyDescent="0.25">
      <c r="D2" s="48" t="s">
        <v>98</v>
      </c>
      <c r="F2" s="50" t="s">
        <v>92</v>
      </c>
      <c r="G2" s="50"/>
      <c r="H2" s="50"/>
      <c r="I2" s="50"/>
      <c r="J2" s="50"/>
      <c r="K2" s="50"/>
      <c r="L2" s="50"/>
    </row>
    <row r="3" spans="1:12" ht="15.75" x14ac:dyDescent="0.25">
      <c r="A3" s="40" t="s">
        <v>91</v>
      </c>
      <c r="B3" s="40" t="s">
        <v>89</v>
      </c>
      <c r="C3" s="40" t="s">
        <v>90</v>
      </c>
      <c r="D3" s="40" t="s">
        <v>90</v>
      </c>
      <c r="F3" s="40" t="s">
        <v>99</v>
      </c>
      <c r="G3" s="40" t="s">
        <v>89</v>
      </c>
      <c r="H3" s="40" t="s">
        <v>94</v>
      </c>
      <c r="I3" s="40" t="s">
        <v>95</v>
      </c>
      <c r="J3" s="40" t="s">
        <v>93</v>
      </c>
      <c r="K3" s="40" t="s">
        <v>101</v>
      </c>
      <c r="L3" s="40" t="s">
        <v>100</v>
      </c>
    </row>
    <row r="4" spans="1:12" x14ac:dyDescent="0.2">
      <c r="A4" s="41">
        <v>1</v>
      </c>
      <c r="B4" s="41" t="str">
        <f>ChlaCalc!A10</f>
        <v>StonyCreek-071017</v>
      </c>
      <c r="C4" s="42">
        <f>ChlaCalc!J10</f>
        <v>0</v>
      </c>
      <c r="D4" s="42">
        <f>IF(C4&lt;0, 0, C4)</f>
        <v>0</v>
      </c>
      <c r="F4" s="41">
        <v>1</v>
      </c>
      <c r="G4" s="43" t="str">
        <f>B4</f>
        <v>StonyCreek-071017</v>
      </c>
      <c r="H4" s="42">
        <f>C4</f>
        <v>0</v>
      </c>
      <c r="I4" s="42">
        <f>C5</f>
        <v>0</v>
      </c>
      <c r="J4" s="44">
        <f>AVERAGE(H4:I4)</f>
        <v>0</v>
      </c>
      <c r="K4" s="41">
        <f>STDEV(H4:I4)</f>
        <v>0</v>
      </c>
      <c r="L4" s="45" t="e">
        <f>ABS(K4/J4)</f>
        <v>#DIV/0!</v>
      </c>
    </row>
    <row r="5" spans="1:12" x14ac:dyDescent="0.2">
      <c r="A5" s="41">
        <v>2</v>
      </c>
      <c r="B5" s="41" t="str">
        <f>ChlaCalc!A11</f>
        <v>StonyCreek-071017-DUP</v>
      </c>
      <c r="C5" s="42">
        <f>ChlaCalc!J11</f>
        <v>0</v>
      </c>
      <c r="D5" s="42">
        <f t="shared" ref="D5:D52" si="0">IF(C5&lt;0, 0, C5)</f>
        <v>0</v>
      </c>
      <c r="F5" s="41">
        <v>2</v>
      </c>
      <c r="G5" s="43" t="str">
        <f>B11</f>
        <v>42-SS01BI-071517</v>
      </c>
      <c r="H5" s="42">
        <f>C11</f>
        <v>0</v>
      </c>
      <c r="I5" s="42">
        <f>C12</f>
        <v>0</v>
      </c>
      <c r="J5" s="44">
        <f t="shared" ref="J5:J11" si="1">AVERAGE(H5:I5)</f>
        <v>0</v>
      </c>
      <c r="K5" s="41">
        <f t="shared" ref="K5:K11" si="2">STDEV(H5:I5)</f>
        <v>0</v>
      </c>
      <c r="L5" s="45" t="e">
        <f t="shared" ref="L5:L11" si="3">ABS(K5/J5)</f>
        <v>#DIV/0!</v>
      </c>
    </row>
    <row r="6" spans="1:12" x14ac:dyDescent="0.2">
      <c r="A6" s="41">
        <v>3</v>
      </c>
      <c r="B6" s="41" t="str">
        <f>ChlaCalc!A12</f>
        <v>27-SS02LU-071217</v>
      </c>
      <c r="C6" s="42">
        <f>ChlaCalc!J12</f>
        <v>0</v>
      </c>
      <c r="D6" s="42">
        <f t="shared" si="0"/>
        <v>0</v>
      </c>
      <c r="F6" s="41">
        <v>3</v>
      </c>
      <c r="G6" s="43" t="str">
        <f>B27</f>
        <v>5-SS01MI-072217</v>
      </c>
      <c r="H6" s="42">
        <f>C27</f>
        <v>0</v>
      </c>
      <c r="I6" s="42">
        <f>C28</f>
        <v>0</v>
      </c>
      <c r="J6" s="44">
        <f t="shared" si="1"/>
        <v>0</v>
      </c>
      <c r="K6" s="41">
        <f t="shared" si="2"/>
        <v>0</v>
      </c>
      <c r="L6" s="45" t="e">
        <f t="shared" si="3"/>
        <v>#DIV/0!</v>
      </c>
    </row>
    <row r="7" spans="1:12" x14ac:dyDescent="0.2">
      <c r="A7" s="41">
        <v>4</v>
      </c>
      <c r="B7" s="41" t="str">
        <f>ChlaCalc!A13</f>
        <v>48-SS08LI-071217</v>
      </c>
      <c r="C7" s="42">
        <f>ChlaCalc!J13</f>
        <v>0</v>
      </c>
      <c r="D7" s="42">
        <f t="shared" si="0"/>
        <v>0</v>
      </c>
      <c r="F7" s="41">
        <v>4</v>
      </c>
      <c r="G7" s="43" t="str">
        <f>B29</f>
        <v>10-SS06MI-072217</v>
      </c>
      <c r="H7" s="42">
        <f>C29</f>
        <v>0</v>
      </c>
      <c r="I7" s="42">
        <f>C30</f>
        <v>0</v>
      </c>
      <c r="J7" s="44">
        <f t="shared" si="1"/>
        <v>0</v>
      </c>
      <c r="K7" s="41">
        <f t="shared" si="2"/>
        <v>0</v>
      </c>
      <c r="L7" s="45" t="e">
        <f t="shared" si="3"/>
        <v>#DIV/0!</v>
      </c>
    </row>
    <row r="8" spans="1:12" x14ac:dyDescent="0.2">
      <c r="A8" s="41">
        <v>5</v>
      </c>
      <c r="B8" s="41" t="str">
        <f>ChlaCalc!A14</f>
        <v>13-SS02MU-071317</v>
      </c>
      <c r="C8" s="42">
        <f>ChlaCalc!J14</f>
        <v>0</v>
      </c>
      <c r="D8" s="42">
        <f t="shared" si="0"/>
        <v>0</v>
      </c>
      <c r="F8" s="41">
        <v>5</v>
      </c>
      <c r="G8" s="43" t="str">
        <f>B31</f>
        <v>14-SS03MU-072217*</v>
      </c>
      <c r="H8" s="42">
        <f>C31</f>
        <v>0</v>
      </c>
      <c r="I8" s="42">
        <f>C32</f>
        <v>0</v>
      </c>
      <c r="J8" s="44">
        <f t="shared" si="1"/>
        <v>0</v>
      </c>
      <c r="K8" s="41">
        <f t="shared" si="2"/>
        <v>0</v>
      </c>
      <c r="L8" s="45" t="e">
        <f t="shared" si="3"/>
        <v>#DIV/0!</v>
      </c>
    </row>
    <row r="9" spans="1:12" x14ac:dyDescent="0.2">
      <c r="A9" s="41">
        <v>6</v>
      </c>
      <c r="B9" s="41" t="str">
        <f>ChlaCalc!A15</f>
        <v>26-SS01LU-071417</v>
      </c>
      <c r="C9" s="42">
        <f>ChlaCalc!J15</f>
        <v>0</v>
      </c>
      <c r="D9" s="42">
        <f t="shared" si="0"/>
        <v>0</v>
      </c>
      <c r="F9" s="41">
        <v>6</v>
      </c>
      <c r="G9" s="43" t="str">
        <f>B33</f>
        <v>19-SS01LI-072217</v>
      </c>
      <c r="H9" s="42">
        <f>C33</f>
        <v>0</v>
      </c>
      <c r="I9" s="42">
        <f>C34</f>
        <v>0</v>
      </c>
      <c r="J9" s="44">
        <f t="shared" si="1"/>
        <v>0</v>
      </c>
      <c r="K9" s="41">
        <f t="shared" si="2"/>
        <v>0</v>
      </c>
      <c r="L9" s="45" t="e">
        <f t="shared" si="3"/>
        <v>#DIV/0!</v>
      </c>
    </row>
    <row r="10" spans="1:12" x14ac:dyDescent="0.2">
      <c r="A10" s="41">
        <v>7</v>
      </c>
      <c r="B10" s="41" t="str">
        <f>ChlaCalc!A16</f>
        <v>30-SS01FU-071417</v>
      </c>
      <c r="C10" s="42">
        <f>ChlaCalc!J16</f>
        <v>0</v>
      </c>
      <c r="D10" s="42">
        <f t="shared" si="0"/>
        <v>0</v>
      </c>
      <c r="F10" s="41">
        <v>7</v>
      </c>
      <c r="G10" s="43" t="str">
        <f>B35</f>
        <v>20-SS02LI-072217</v>
      </c>
      <c r="H10" s="42">
        <f>C35</f>
        <v>0</v>
      </c>
      <c r="I10" s="42">
        <f>C36</f>
        <v>0</v>
      </c>
      <c r="J10" s="44">
        <f t="shared" si="1"/>
        <v>0</v>
      </c>
      <c r="K10" s="41">
        <f t="shared" si="2"/>
        <v>0</v>
      </c>
      <c r="L10" s="45" t="e">
        <f t="shared" si="3"/>
        <v>#DIV/0!</v>
      </c>
    </row>
    <row r="11" spans="1:12" x14ac:dyDescent="0.2">
      <c r="A11" s="41">
        <v>8</v>
      </c>
      <c r="B11" s="41" t="str">
        <f>ChlaCalc!A17</f>
        <v>42-SS01BI-071517</v>
      </c>
      <c r="C11" s="42">
        <f>ChlaCalc!J17</f>
        <v>0</v>
      </c>
      <c r="D11" s="42">
        <f t="shared" si="0"/>
        <v>0</v>
      </c>
      <c r="F11" s="41">
        <v>8</v>
      </c>
      <c r="G11" s="43" t="str">
        <f>B49</f>
        <v>StonyCreek-080717</v>
      </c>
      <c r="H11" s="42">
        <f>C49</f>
        <v>0</v>
      </c>
      <c r="I11" s="42">
        <f>C50</f>
        <v>0</v>
      </c>
      <c r="J11" s="44">
        <f t="shared" si="1"/>
        <v>0</v>
      </c>
      <c r="K11" s="41">
        <f t="shared" si="2"/>
        <v>0</v>
      </c>
      <c r="L11" s="45" t="e">
        <f t="shared" si="3"/>
        <v>#DIV/0!</v>
      </c>
    </row>
    <row r="12" spans="1:12" x14ac:dyDescent="0.2">
      <c r="A12" s="41">
        <v>9</v>
      </c>
      <c r="B12" s="41" t="str">
        <f>ChlaCalc!A18</f>
        <v>42-SS01BI-071517 - DUP</v>
      </c>
      <c r="C12" s="42">
        <f>ChlaCalc!J18</f>
        <v>0</v>
      </c>
      <c r="D12" s="42">
        <f t="shared" si="0"/>
        <v>0</v>
      </c>
    </row>
    <row r="13" spans="1:12" x14ac:dyDescent="0.2">
      <c r="A13" s="41">
        <v>10</v>
      </c>
      <c r="B13" s="41" t="str">
        <f>ChlaCalc!A19</f>
        <v>53-SS01LU-alt2-071517</v>
      </c>
      <c r="C13" s="42">
        <f>ChlaCalc!J19</f>
        <v>0</v>
      </c>
      <c r="D13" s="42">
        <f t="shared" si="0"/>
        <v>0</v>
      </c>
    </row>
    <row r="14" spans="1:12" x14ac:dyDescent="0.2">
      <c r="A14" s="41">
        <v>11</v>
      </c>
      <c r="B14" s="41" t="str">
        <f>ChlaCalc!A20</f>
        <v>0-SS02BI-071717</v>
      </c>
      <c r="C14" s="42">
        <f>ChlaCalc!J20</f>
        <v>0</v>
      </c>
      <c r="D14" s="42">
        <f t="shared" si="0"/>
        <v>0</v>
      </c>
    </row>
    <row r="15" spans="1:12" x14ac:dyDescent="0.2">
      <c r="A15" s="41">
        <v>13</v>
      </c>
      <c r="B15" s="41" t="str">
        <f>ChlaCalc!A21</f>
        <v>6-SS02MI-071717</v>
      </c>
      <c r="C15" s="42">
        <f>ChlaCalc!J21</f>
        <v>0</v>
      </c>
      <c r="D15" s="42">
        <f t="shared" si="0"/>
        <v>0</v>
      </c>
    </row>
    <row r="16" spans="1:12" x14ac:dyDescent="0.2">
      <c r="A16" s="41">
        <v>14</v>
      </c>
      <c r="B16" s="41" t="str">
        <f>ChlaCalc!A22</f>
        <v>9-SS05MI-071717</v>
      </c>
      <c r="C16" s="42">
        <f>ChlaCalc!J22</f>
        <v>0</v>
      </c>
      <c r="D16" s="42">
        <f t="shared" si="0"/>
        <v>0</v>
      </c>
    </row>
    <row r="17" spans="1:4" x14ac:dyDescent="0.2">
      <c r="A17" s="41">
        <v>15</v>
      </c>
      <c r="B17" s="41" t="str">
        <f>ChlaCalc!A23</f>
        <v>23-SS05LI-072017</v>
      </c>
      <c r="C17" s="42">
        <f>ChlaCalc!J23</f>
        <v>0</v>
      </c>
      <c r="D17" s="42">
        <f t="shared" si="0"/>
        <v>0</v>
      </c>
    </row>
    <row r="18" spans="1:4" x14ac:dyDescent="0.2">
      <c r="A18" s="41">
        <v>17</v>
      </c>
      <c r="B18" s="41" t="str">
        <f>ChlaCalc!A24</f>
        <v>37-SS04OI-072017</v>
      </c>
      <c r="C18" s="42">
        <f>ChlaCalc!J24</f>
        <v>0</v>
      </c>
      <c r="D18" s="42">
        <f t="shared" si="0"/>
        <v>0</v>
      </c>
    </row>
    <row r="19" spans="1:4" x14ac:dyDescent="0.2">
      <c r="A19" s="41">
        <v>18</v>
      </c>
      <c r="B19" s="41" t="str">
        <f>ChlaCalc!A25</f>
        <v>24-SS06LU-072017</v>
      </c>
      <c r="C19" s="42">
        <f>ChlaCalc!J25</f>
        <v>0</v>
      </c>
      <c r="D19" s="42">
        <f t="shared" si="0"/>
        <v>0</v>
      </c>
    </row>
    <row r="20" spans="1:4" x14ac:dyDescent="0.2">
      <c r="A20" s="41">
        <v>19</v>
      </c>
      <c r="B20" s="41" t="str">
        <f>ChlaCalc!A26</f>
        <v>29-SS04LU-072017</v>
      </c>
      <c r="C20" s="42">
        <f>ChlaCalc!J26</f>
        <v>0</v>
      </c>
      <c r="D20" s="42">
        <f t="shared" si="0"/>
        <v>0</v>
      </c>
    </row>
    <row r="21" spans="1:4" x14ac:dyDescent="0.2">
      <c r="A21" s="41">
        <v>20</v>
      </c>
      <c r="B21" s="41" t="str">
        <f>ChlaCalc!A27</f>
        <v>35-SS02OI-072017</v>
      </c>
      <c r="C21" s="42">
        <f>ChlaCalc!J27</f>
        <v>0</v>
      </c>
      <c r="D21" s="42">
        <f t="shared" si="0"/>
        <v>0</v>
      </c>
    </row>
    <row r="22" spans="1:4" x14ac:dyDescent="0.2">
      <c r="A22" s="41">
        <v>21</v>
      </c>
      <c r="B22" s="41" t="str">
        <f>ChlaCalc!A28</f>
        <v>36-SS03OI-072017</v>
      </c>
      <c r="C22" s="42">
        <f>ChlaCalc!J28</f>
        <v>0</v>
      </c>
      <c r="D22" s="42">
        <f t="shared" si="0"/>
        <v>0</v>
      </c>
    </row>
    <row r="23" spans="1:4" x14ac:dyDescent="0.2">
      <c r="A23" s="41">
        <v>22</v>
      </c>
      <c r="B23" s="41" t="str">
        <f>ChlaCalc!A29</f>
        <v>38-SS01OI-072017</v>
      </c>
      <c r="C23" s="42">
        <f>ChlaCalc!J29</f>
        <v>0</v>
      </c>
      <c r="D23" s="42">
        <f t="shared" si="0"/>
        <v>0</v>
      </c>
    </row>
    <row r="24" spans="1:4" x14ac:dyDescent="0.2">
      <c r="A24" s="41">
        <v>23</v>
      </c>
      <c r="B24" s="41" t="str">
        <f>ChlaCalc!A30</f>
        <v>BLANK1-072017-TRAVEL</v>
      </c>
      <c r="C24" s="42">
        <f>ChlaCalc!J30</f>
        <v>0</v>
      </c>
      <c r="D24" s="42">
        <f t="shared" si="0"/>
        <v>0</v>
      </c>
    </row>
    <row r="25" spans="1:4" x14ac:dyDescent="0.2">
      <c r="A25" s="41">
        <v>24</v>
      </c>
      <c r="B25" s="41" t="str">
        <f>ChlaCalc!A31</f>
        <v>3-SS04BU-072217</v>
      </c>
      <c r="C25" s="42">
        <f>ChlaCalc!J31</f>
        <v>0</v>
      </c>
      <c r="D25" s="42">
        <f t="shared" si="0"/>
        <v>0</v>
      </c>
    </row>
    <row r="26" spans="1:4" x14ac:dyDescent="0.2">
      <c r="A26" s="41">
        <v>25</v>
      </c>
      <c r="B26" s="41" t="str">
        <f>ChlaCalc!A32</f>
        <v>8-SS04MI-072217</v>
      </c>
      <c r="C26" s="42">
        <f>ChlaCalc!J32</f>
        <v>0</v>
      </c>
      <c r="D26" s="42">
        <f t="shared" si="0"/>
        <v>0</v>
      </c>
    </row>
    <row r="27" spans="1:4" x14ac:dyDescent="0.2">
      <c r="A27" s="41">
        <v>26</v>
      </c>
      <c r="B27" s="41" t="str">
        <f>ChlaCalc!A33</f>
        <v>5-SS01MI-072217</v>
      </c>
      <c r="C27" s="42">
        <f>ChlaCalc!J33</f>
        <v>0</v>
      </c>
      <c r="D27" s="42">
        <f t="shared" si="0"/>
        <v>0</v>
      </c>
    </row>
    <row r="28" spans="1:4" x14ac:dyDescent="0.2">
      <c r="A28" s="41">
        <v>27</v>
      </c>
      <c r="B28" s="41" t="str">
        <f>ChlaCalc!A34</f>
        <v>5-SS01MI-072217-DUP</v>
      </c>
      <c r="C28" s="42">
        <f>ChlaCalc!J34</f>
        <v>0</v>
      </c>
      <c r="D28" s="42">
        <f t="shared" si="0"/>
        <v>0</v>
      </c>
    </row>
    <row r="29" spans="1:4" x14ac:dyDescent="0.2">
      <c r="A29" s="41">
        <v>28</v>
      </c>
      <c r="B29" s="41" t="str">
        <f>ChlaCalc!A35</f>
        <v>10-SS06MI-072217</v>
      </c>
      <c r="C29" s="42">
        <f>ChlaCalc!J35</f>
        <v>0</v>
      </c>
      <c r="D29" s="42">
        <f t="shared" si="0"/>
        <v>0</v>
      </c>
    </row>
    <row r="30" spans="1:4" x14ac:dyDescent="0.2">
      <c r="A30" s="41">
        <v>29</v>
      </c>
      <c r="B30" s="41" t="str">
        <f>ChlaCalc!A36</f>
        <v>10-SS06MI-072217-DUP</v>
      </c>
      <c r="C30" s="42">
        <f>ChlaCalc!J36</f>
        <v>0</v>
      </c>
      <c r="D30" s="42">
        <f t="shared" si="0"/>
        <v>0</v>
      </c>
    </row>
    <row r="31" spans="1:4" x14ac:dyDescent="0.2">
      <c r="A31" s="41">
        <v>30</v>
      </c>
      <c r="B31" s="41" t="str">
        <f>ChlaCalc!A37</f>
        <v>14-SS03MU-072217*</v>
      </c>
      <c r="C31" s="42">
        <f>ChlaCalc!J37</f>
        <v>0</v>
      </c>
      <c r="D31" s="42">
        <f t="shared" si="0"/>
        <v>0</v>
      </c>
    </row>
    <row r="32" spans="1:4" x14ac:dyDescent="0.2">
      <c r="A32" s="41">
        <v>31</v>
      </c>
      <c r="B32" s="41" t="str">
        <f>ChlaCalc!A38</f>
        <v>14-SS03MU-072217-DUP*</v>
      </c>
      <c r="C32" s="42">
        <f>ChlaCalc!J38</f>
        <v>0</v>
      </c>
      <c r="D32" s="42">
        <f t="shared" si="0"/>
        <v>0</v>
      </c>
    </row>
    <row r="33" spans="1:4" x14ac:dyDescent="0.2">
      <c r="A33" s="41">
        <v>32</v>
      </c>
      <c r="B33" s="41" t="str">
        <f>ChlaCalc!A39</f>
        <v>19-SS01LI-072217</v>
      </c>
      <c r="C33" s="42">
        <f>ChlaCalc!J39</f>
        <v>0</v>
      </c>
      <c r="D33" s="42">
        <f t="shared" si="0"/>
        <v>0</v>
      </c>
    </row>
    <row r="34" spans="1:4" x14ac:dyDescent="0.2">
      <c r="A34" s="41">
        <v>33</v>
      </c>
      <c r="B34" s="41" t="str">
        <f>ChlaCalc!A40</f>
        <v>19-SS01LI-072217-DUP</v>
      </c>
      <c r="C34" s="42">
        <f>ChlaCalc!J40</f>
        <v>0</v>
      </c>
      <c r="D34" s="42">
        <f t="shared" si="0"/>
        <v>0</v>
      </c>
    </row>
    <row r="35" spans="1:4" x14ac:dyDescent="0.2">
      <c r="A35" s="41">
        <v>34</v>
      </c>
      <c r="B35" s="41" t="str">
        <f>ChlaCalc!A41</f>
        <v>20-SS02LI-072217</v>
      </c>
      <c r="C35" s="42">
        <f>ChlaCalc!J41</f>
        <v>0</v>
      </c>
      <c r="D35" s="42">
        <f t="shared" si="0"/>
        <v>0</v>
      </c>
    </row>
    <row r="36" spans="1:4" x14ac:dyDescent="0.2">
      <c r="A36" s="41">
        <v>35</v>
      </c>
      <c r="B36" s="41" t="str">
        <f>ChlaCalc!A42</f>
        <v>20-SS02LI-072217-DUP</v>
      </c>
      <c r="C36" s="42">
        <f>ChlaCalc!J42</f>
        <v>0</v>
      </c>
      <c r="D36" s="42">
        <f t="shared" si="0"/>
        <v>0</v>
      </c>
    </row>
    <row r="37" spans="1:4" x14ac:dyDescent="0.2">
      <c r="A37" s="46">
        <v>36</v>
      </c>
      <c r="B37" s="46" t="str">
        <f>ChlaCalc!A43</f>
        <v>SC-3B-072717</v>
      </c>
      <c r="C37" s="47">
        <f>ChlaCalc!J43</f>
        <v>0</v>
      </c>
      <c r="D37" s="47">
        <f t="shared" si="0"/>
        <v>0</v>
      </c>
    </row>
    <row r="38" spans="1:4" x14ac:dyDescent="0.2">
      <c r="A38" s="46">
        <v>37</v>
      </c>
      <c r="B38" s="46" t="str">
        <f>ChlaCalc!A44</f>
        <v>DC-3-072715</v>
      </c>
      <c r="C38" s="47">
        <f>ChlaCalc!J44</f>
        <v>0</v>
      </c>
      <c r="D38" s="47">
        <f t="shared" si="0"/>
        <v>0</v>
      </c>
    </row>
    <row r="39" spans="1:4" x14ac:dyDescent="0.2">
      <c r="A39" s="46">
        <v>38</v>
      </c>
      <c r="B39" s="46" t="str">
        <f>ChlaCalc!A45</f>
        <v>DC-4-072717</v>
      </c>
      <c r="C39" s="47">
        <f>ChlaCalc!J45</f>
        <v>0</v>
      </c>
      <c r="D39" s="47">
        <f t="shared" si="0"/>
        <v>0</v>
      </c>
    </row>
    <row r="40" spans="1:4" x14ac:dyDescent="0.2">
      <c r="A40" s="41">
        <v>39</v>
      </c>
      <c r="B40" s="41" t="str">
        <f>ChlaCalc!A46</f>
        <v>31-SS02FU-072917</v>
      </c>
      <c r="C40" s="42">
        <f>ChlaCalc!J46</f>
        <v>0</v>
      </c>
      <c r="D40" s="42">
        <f t="shared" si="0"/>
        <v>0</v>
      </c>
    </row>
    <row r="41" spans="1:4" x14ac:dyDescent="0.2">
      <c r="A41" s="41">
        <v>40</v>
      </c>
      <c r="B41" s="41" t="str">
        <f>ChlaCalc!A47</f>
        <v>32-SS03FU-072917</v>
      </c>
      <c r="C41" s="42">
        <f>ChlaCalc!J47</f>
        <v>0</v>
      </c>
      <c r="D41" s="42">
        <f t="shared" si="0"/>
        <v>0</v>
      </c>
    </row>
    <row r="42" spans="1:4" x14ac:dyDescent="0.2">
      <c r="A42" s="41">
        <v>41</v>
      </c>
      <c r="B42" s="41" t="str">
        <f>ChlaCalc!A48</f>
        <v>7-SS03MI-073017</v>
      </c>
      <c r="C42" s="42">
        <f>ChlaCalc!J48</f>
        <v>0</v>
      </c>
      <c r="D42" s="42">
        <f t="shared" si="0"/>
        <v>0</v>
      </c>
    </row>
    <row r="43" spans="1:4" x14ac:dyDescent="0.2">
      <c r="A43" s="41">
        <v>42</v>
      </c>
      <c r="B43" s="41" t="str">
        <f>ChlaCalc!A49</f>
        <v>57-SS06MI-alt1-073017</v>
      </c>
      <c r="C43" s="42">
        <f>ChlaCalc!J49</f>
        <v>0</v>
      </c>
      <c r="D43" s="42">
        <f t="shared" si="0"/>
        <v>0</v>
      </c>
    </row>
    <row r="44" spans="1:4" x14ac:dyDescent="0.2">
      <c r="A44" s="41">
        <v>43</v>
      </c>
      <c r="B44" s="41" t="str">
        <f>ChlaCalc!A50</f>
        <v>1-SS02BU-080317</v>
      </c>
      <c r="C44" s="42">
        <f>ChlaCalc!J50</f>
        <v>0</v>
      </c>
      <c r="D44" s="42">
        <f t="shared" si="0"/>
        <v>0</v>
      </c>
    </row>
    <row r="45" spans="1:4" x14ac:dyDescent="0.2">
      <c r="A45" s="41">
        <v>44</v>
      </c>
      <c r="B45" s="41" t="str">
        <f>ChlaCalc!A51</f>
        <v>45-SS03BU-alt2-080317</v>
      </c>
      <c r="C45" s="42">
        <f>ChlaCalc!J51</f>
        <v>0</v>
      </c>
      <c r="D45" s="42">
        <f t="shared" si="0"/>
        <v>0</v>
      </c>
    </row>
    <row r="46" spans="1:4" x14ac:dyDescent="0.2">
      <c r="A46" s="41">
        <v>45</v>
      </c>
      <c r="B46" s="41" t="str">
        <f>ChlaCalc!A52</f>
        <v>62-SS06MU-080517</v>
      </c>
      <c r="C46" s="42">
        <f>ChlaCalc!J52</f>
        <v>0</v>
      </c>
      <c r="D46" s="42">
        <f t="shared" si="0"/>
        <v>0</v>
      </c>
    </row>
    <row r="47" spans="1:4" x14ac:dyDescent="0.2">
      <c r="A47" s="41">
        <v>46</v>
      </c>
      <c r="B47" s="41" t="str">
        <f>ChlaCalc!A53</f>
        <v>71-SS05LU-080517</v>
      </c>
      <c r="C47" s="42">
        <f>ChlaCalc!J53</f>
        <v>0</v>
      </c>
      <c r="D47" s="42">
        <f t="shared" si="0"/>
        <v>0</v>
      </c>
    </row>
    <row r="48" spans="1:4" x14ac:dyDescent="0.2">
      <c r="A48" s="41">
        <v>47</v>
      </c>
      <c r="B48" s="41" t="str">
        <f>ChlaCalc!A54</f>
        <v>Blank1-080717</v>
      </c>
      <c r="C48" s="42">
        <f>ChlaCalc!J54</f>
        <v>0</v>
      </c>
      <c r="D48" s="42">
        <f t="shared" si="0"/>
        <v>0</v>
      </c>
    </row>
    <row r="49" spans="1:4" x14ac:dyDescent="0.2">
      <c r="A49" s="41">
        <v>48</v>
      </c>
      <c r="B49" s="41" t="str">
        <f>ChlaCalc!A55</f>
        <v>StonyCreek-080717</v>
      </c>
      <c r="C49" s="42">
        <f>ChlaCalc!J55</f>
        <v>0</v>
      </c>
      <c r="D49" s="42">
        <f t="shared" si="0"/>
        <v>0</v>
      </c>
    </row>
    <row r="50" spans="1:4" x14ac:dyDescent="0.2">
      <c r="A50" s="41">
        <v>49</v>
      </c>
      <c r="B50" s="41" t="str">
        <f>ChlaCalc!A56</f>
        <v>StonyCreek-080717-DUP</v>
      </c>
      <c r="C50" s="42">
        <f>ChlaCalc!J56</f>
        <v>0</v>
      </c>
      <c r="D50" s="42">
        <f t="shared" si="0"/>
        <v>0</v>
      </c>
    </row>
    <row r="51" spans="1:4" x14ac:dyDescent="0.2">
      <c r="A51" s="41">
        <v>50</v>
      </c>
      <c r="B51" s="41" t="str">
        <f>ChlaCalc!A57</f>
        <v>12-SS01MU-080917</v>
      </c>
      <c r="C51" s="42">
        <f>ChlaCalc!J57</f>
        <v>0</v>
      </c>
      <c r="D51" s="42">
        <f t="shared" si="0"/>
        <v>0</v>
      </c>
    </row>
    <row r="52" spans="1:4" x14ac:dyDescent="0.2">
      <c r="A52" s="41">
        <v>51</v>
      </c>
      <c r="B52" s="41" t="str">
        <f>ChlaCalc!A58</f>
        <v>40-SS02BU-alt1-080917</v>
      </c>
      <c r="C52" s="42">
        <f>ChlaCalc!J58</f>
        <v>0</v>
      </c>
      <c r="D52" s="42">
        <f t="shared" si="0"/>
        <v>0</v>
      </c>
    </row>
  </sheetData>
  <mergeCells count="1">
    <mergeCell ref="F2:L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ChlaCalc</vt:lpstr>
      <vt:lpstr>forR</vt:lpstr>
      <vt:lpstr>ChlaSummary</vt:lpstr>
      <vt:lpstr>ChlaCalc!Print_Area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</dc:creator>
  <cp:lastModifiedBy>Sarah Shakil</cp:lastModifiedBy>
  <cp:lastPrinted>2016-09-09T19:17:13Z</cp:lastPrinted>
  <dcterms:created xsi:type="dcterms:W3CDTF">2003-08-05T20:38:11Z</dcterms:created>
  <dcterms:modified xsi:type="dcterms:W3CDTF">2021-09-28T21:50:15Z</dcterms:modified>
</cp:coreProperties>
</file>