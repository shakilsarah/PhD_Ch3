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D:\Users\sarah\Dropbox\ThesisDrafts\Chapter3\Data\FieldData\"/>
    </mc:Choice>
  </mc:AlternateContent>
  <xr:revisionPtr revIDLastSave="0" documentId="13_ncr:1_{9E1F94F2-B82B-4E3B-BF9E-D3E69C805DDF}" xr6:coauthVersionLast="47" xr6:coauthVersionMax="47" xr10:uidLastSave="{00000000-0000-0000-0000-000000000000}"/>
  <bookViews>
    <workbookView xWindow="2235" yWindow="405" windowWidth="26565" windowHeight="15180" tabRatio="434" firstSheet="4" activeTab="4" xr2:uid="{00000000-000D-0000-FFFF-FFFF00000000}"/>
  </bookViews>
  <sheets>
    <sheet name="README" sheetId="1" r:id="rId1"/>
    <sheet name="TSS" sheetId="2" r:id="rId2"/>
    <sheet name="YSI" sheetId="4" r:id="rId3"/>
    <sheet name="Discharge" sheetId="3" r:id="rId4"/>
    <sheet name="Slope and Morphometry" sheetId="6" r:id="rId5"/>
    <sheet name="Bed Material" sheetId="5" r:id="rId6"/>
    <sheet name="Active Layer" sheetId="8" r:id="rId7"/>
    <sheet name="Game Camera" sheetId="7" r:id="rId8"/>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3" i="6" l="1"/>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K37" i="6" s="1"/>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2" i="6"/>
  <c r="D346" i="2"/>
  <c r="D341" i="2"/>
  <c r="D339" i="2"/>
  <c r="D338" i="2"/>
  <c r="D337" i="2"/>
  <c r="D336" i="2"/>
  <c r="D335" i="2"/>
  <c r="D334" i="2"/>
  <c r="D333" i="2"/>
  <c r="D320" i="2"/>
  <c r="D319" i="2"/>
  <c r="D311" i="2"/>
  <c r="D310" i="2"/>
  <c r="D307" i="2"/>
  <c r="D304" i="2"/>
  <c r="D303" i="2"/>
  <c r="D302" i="2"/>
  <c r="D301" i="2"/>
  <c r="D300" i="2"/>
  <c r="D299" i="2"/>
  <c r="D298" i="2"/>
  <c r="D297" i="2"/>
  <c r="D296" i="2"/>
  <c r="D295" i="2"/>
  <c r="D294" i="2"/>
  <c r="D289" i="2"/>
  <c r="D279" i="2"/>
  <c r="D278" i="2"/>
  <c r="D277" i="2"/>
  <c r="D276" i="2"/>
  <c r="D275" i="2"/>
  <c r="D274" i="2"/>
  <c r="D273" i="2"/>
  <c r="D272" i="2"/>
  <c r="D271" i="2"/>
  <c r="D270" i="2"/>
  <c r="D269" i="2"/>
  <c r="D268" i="2"/>
  <c r="D267" i="2"/>
  <c r="D266" i="2"/>
  <c r="D245" i="2"/>
  <c r="D244" i="2"/>
  <c r="D249" i="2"/>
  <c r="D239" i="2"/>
  <c r="D234" i="2"/>
  <c r="D214" i="2"/>
  <c r="D211" i="2"/>
  <c r="D107" i="2"/>
  <c r="D98" i="2"/>
  <c r="E114" i="2"/>
  <c r="E133" i="2"/>
  <c r="D161" i="2"/>
  <c r="D164" i="2"/>
  <c r="D166" i="2"/>
  <c r="D168" i="2"/>
  <c r="D165" i="2"/>
  <c r="D163" i="2"/>
  <c r="D167" i="2"/>
  <c r="D153" i="2"/>
  <c r="D150" i="2"/>
  <c r="D148" i="2"/>
  <c r="D152" i="2"/>
  <c r="D162" i="2"/>
  <c r="D147" i="2"/>
  <c r="D146" i="2"/>
  <c r="D136" i="2"/>
  <c r="D138" i="2"/>
  <c r="D134" i="2"/>
  <c r="D93" i="2"/>
  <c r="D106" i="2"/>
  <c r="D105" i="2"/>
  <c r="D100" i="2"/>
  <c r="D99" i="2"/>
  <c r="D126" i="2"/>
  <c r="D113" i="2"/>
  <c r="D111" i="2"/>
  <c r="D109" i="2"/>
  <c r="D108" i="2"/>
  <c r="D112" i="2"/>
  <c r="D110" i="2"/>
  <c r="D104" i="2"/>
  <c r="D92" i="2"/>
  <c r="D91" i="2"/>
  <c r="H155" i="3"/>
  <c r="H154" i="3"/>
  <c r="H153" i="3"/>
  <c r="H152" i="3"/>
  <c r="H151" i="3"/>
  <c r="H150" i="3"/>
  <c r="H137" i="3"/>
  <c r="H138" i="3"/>
  <c r="H140" i="3"/>
  <c r="H141" i="3"/>
  <c r="H142" i="3"/>
  <c r="H144" i="3"/>
  <c r="H145" i="3"/>
  <c r="H136" i="3"/>
  <c r="D67" i="2"/>
  <c r="D66" i="2"/>
  <c r="D65" i="2"/>
  <c r="D64" i="2"/>
  <c r="D63" i="2"/>
  <c r="D61" i="2"/>
  <c r="D49" i="2"/>
  <c r="D48" i="2"/>
  <c r="D47" i="2"/>
  <c r="D46" i="2"/>
  <c r="D45" i="2"/>
  <c r="D44" i="2"/>
  <c r="D43" i="2"/>
  <c r="D42" i="2"/>
  <c r="D41" i="2"/>
  <c r="D40" i="2"/>
  <c r="D39" i="2"/>
  <c r="D38" i="2"/>
  <c r="D37" i="2"/>
  <c r="D36" i="2"/>
  <c r="D35" i="2"/>
  <c r="D34" i="2"/>
  <c r="D33" i="2"/>
  <c r="D32" i="2"/>
  <c r="D31" i="2"/>
  <c r="D29" i="2"/>
  <c r="D25" i="2"/>
  <c r="D24" i="2"/>
  <c r="D23" i="2"/>
  <c r="D22" i="2"/>
  <c r="D21" i="2"/>
  <c r="D4" i="2"/>
  <c r="H4" i="3"/>
  <c r="H5" i="3"/>
  <c r="H6" i="3"/>
  <c r="H7" i="3"/>
  <c r="H8" i="3"/>
  <c r="H9" i="3"/>
  <c r="H10" i="3"/>
  <c r="H11" i="3"/>
  <c r="H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author>
  </authors>
  <commentList>
    <comment ref="E76" authorId="0" shapeId="0" xr:uid="{00000000-0006-0000-0200-000001000000}">
      <text>
        <r>
          <rPr>
            <b/>
            <sz val="9"/>
            <color indexed="81"/>
            <rFont val="Tahoma"/>
            <family val="2"/>
          </rPr>
          <t>erin~:</t>
        </r>
        <r>
          <rPr>
            <sz val="9"/>
            <color indexed="81"/>
            <rFont val="Tahoma"/>
            <family val="2"/>
          </rPr>
          <t xml:space="preserve">
PP03</t>
        </r>
      </text>
    </comment>
    <comment ref="E77" authorId="0" shapeId="0" xr:uid="{00000000-0006-0000-0200-000002000000}">
      <text>
        <r>
          <rPr>
            <b/>
            <sz val="9"/>
            <color indexed="81"/>
            <rFont val="Tahoma"/>
            <family val="2"/>
          </rPr>
          <t>erin~:</t>
        </r>
        <r>
          <rPr>
            <sz val="9"/>
            <color indexed="81"/>
            <rFont val="Tahoma"/>
            <family val="2"/>
          </rPr>
          <t xml:space="preserve">
PP03</t>
        </r>
      </text>
    </comment>
    <comment ref="N83" authorId="0" shapeId="0" xr:uid="{00000000-0006-0000-0200-000003000000}">
      <text>
        <r>
          <rPr>
            <b/>
            <sz val="9"/>
            <color indexed="81"/>
            <rFont val="Tahoma"/>
            <family val="2"/>
          </rPr>
          <t>erin~:</t>
        </r>
        <r>
          <rPr>
            <sz val="9"/>
            <color indexed="81"/>
            <rFont val="Tahoma"/>
            <family val="2"/>
          </rPr>
          <t xml:space="preserve">
Was still climbing slowly… had to leave in a rush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erin~</author>
  </authors>
  <commentList>
    <comment ref="D12" authorId="0" shapeId="0" xr:uid="{00000000-0006-0000-0300-000001000000}">
      <text>
        <r>
          <rPr>
            <b/>
            <sz val="9"/>
            <color indexed="81"/>
            <rFont val="Tahoma"/>
            <charset val="1"/>
          </rPr>
          <t>erin~:</t>
        </r>
        <r>
          <rPr>
            <sz val="9"/>
            <color indexed="81"/>
            <rFont val="Tahoma"/>
            <charset val="1"/>
          </rPr>
          <t xml:space="preserve">
see elevation in GPS
</t>
        </r>
      </text>
    </comment>
    <comment ref="D13" authorId="0" shapeId="0" xr:uid="{00000000-0006-0000-0300-000002000000}">
      <text>
        <r>
          <rPr>
            <b/>
            <sz val="9"/>
            <color indexed="81"/>
            <rFont val="Tahoma"/>
            <charset val="1"/>
          </rPr>
          <t>erin~:</t>
        </r>
        <r>
          <rPr>
            <sz val="9"/>
            <color indexed="81"/>
            <rFont val="Tahoma"/>
            <charset val="1"/>
          </rPr>
          <t xml:space="preserve">
see elevation in GPS
</t>
        </r>
      </text>
    </comment>
    <comment ref="D14" authorId="0" shapeId="0" xr:uid="{00000000-0006-0000-0300-000003000000}">
      <text>
        <r>
          <rPr>
            <b/>
            <sz val="9"/>
            <color indexed="81"/>
            <rFont val="Tahoma"/>
            <charset val="1"/>
          </rPr>
          <t>erin~:</t>
        </r>
        <r>
          <rPr>
            <sz val="9"/>
            <color indexed="81"/>
            <rFont val="Tahoma"/>
            <charset val="1"/>
          </rPr>
          <t xml:space="preserve">
see elevation in GPS
</t>
        </r>
      </text>
    </comment>
    <comment ref="D15" authorId="0" shapeId="0" xr:uid="{00000000-0006-0000-0300-000004000000}">
      <text>
        <r>
          <rPr>
            <b/>
            <sz val="9"/>
            <color indexed="81"/>
            <rFont val="Tahoma"/>
            <charset val="1"/>
          </rPr>
          <t>erin~:</t>
        </r>
        <r>
          <rPr>
            <sz val="9"/>
            <color indexed="81"/>
            <rFont val="Tahoma"/>
            <charset val="1"/>
          </rPr>
          <t xml:space="preserve">
see elevation in GPS
</t>
        </r>
      </text>
    </comment>
    <comment ref="D16" authorId="0" shapeId="0" xr:uid="{00000000-0006-0000-0300-000005000000}">
      <text>
        <r>
          <rPr>
            <b/>
            <sz val="9"/>
            <color indexed="81"/>
            <rFont val="Tahoma"/>
            <charset val="1"/>
          </rPr>
          <t>erin~:</t>
        </r>
        <r>
          <rPr>
            <sz val="9"/>
            <color indexed="81"/>
            <rFont val="Tahoma"/>
            <charset val="1"/>
          </rPr>
          <t xml:space="preserve">
see elevation in GPS
</t>
        </r>
      </text>
    </comment>
    <comment ref="D17" authorId="0" shapeId="0" xr:uid="{00000000-0006-0000-0300-000006000000}">
      <text>
        <r>
          <rPr>
            <b/>
            <sz val="9"/>
            <color indexed="81"/>
            <rFont val="Tahoma"/>
            <charset val="1"/>
          </rPr>
          <t>erin~:</t>
        </r>
        <r>
          <rPr>
            <sz val="9"/>
            <color indexed="81"/>
            <rFont val="Tahoma"/>
            <charset val="1"/>
          </rPr>
          <t xml:space="preserve">
see elevation in GPS
</t>
        </r>
      </text>
    </comment>
    <comment ref="D18" authorId="0" shapeId="0" xr:uid="{00000000-0006-0000-0300-000007000000}">
      <text>
        <r>
          <rPr>
            <b/>
            <sz val="9"/>
            <color indexed="81"/>
            <rFont val="Tahoma"/>
            <charset val="1"/>
          </rPr>
          <t>erin~:</t>
        </r>
        <r>
          <rPr>
            <sz val="9"/>
            <color indexed="81"/>
            <rFont val="Tahoma"/>
            <charset val="1"/>
          </rPr>
          <t xml:space="preserve">
see elevation in GPS
</t>
        </r>
      </text>
    </comment>
    <comment ref="D19" authorId="0" shapeId="0" xr:uid="{00000000-0006-0000-0300-000008000000}">
      <text>
        <r>
          <rPr>
            <b/>
            <sz val="9"/>
            <color indexed="81"/>
            <rFont val="Tahoma"/>
            <charset val="1"/>
          </rPr>
          <t>erin~:</t>
        </r>
        <r>
          <rPr>
            <sz val="9"/>
            <color indexed="81"/>
            <rFont val="Tahoma"/>
            <charset val="1"/>
          </rPr>
          <t xml:space="preserve">
see elevation in GPS
</t>
        </r>
      </text>
    </comment>
    <comment ref="D20" authorId="0" shapeId="0" xr:uid="{00000000-0006-0000-0300-000009000000}">
      <text>
        <r>
          <rPr>
            <b/>
            <sz val="9"/>
            <color indexed="81"/>
            <rFont val="Tahoma"/>
            <charset val="1"/>
          </rPr>
          <t>erin~:</t>
        </r>
        <r>
          <rPr>
            <sz val="9"/>
            <color indexed="81"/>
            <rFont val="Tahoma"/>
            <charset val="1"/>
          </rPr>
          <t xml:space="preserve">
see elevation in GPS
</t>
        </r>
      </text>
    </comment>
    <comment ref="D21" authorId="0" shapeId="0" xr:uid="{00000000-0006-0000-0300-00000A000000}">
      <text>
        <r>
          <rPr>
            <b/>
            <sz val="9"/>
            <color indexed="81"/>
            <rFont val="Tahoma"/>
            <charset val="1"/>
          </rPr>
          <t>erin~:</t>
        </r>
        <r>
          <rPr>
            <sz val="9"/>
            <color indexed="81"/>
            <rFont val="Tahoma"/>
            <charset val="1"/>
          </rPr>
          <t xml:space="preserve">
see elevation in GPS
</t>
        </r>
      </text>
    </comment>
    <comment ref="D28" authorId="0" shapeId="0" xr:uid="{00000000-0006-0000-0300-00000B000000}">
      <text>
        <r>
          <rPr>
            <b/>
            <sz val="9"/>
            <color indexed="81"/>
            <rFont val="Tahoma"/>
            <charset val="1"/>
          </rPr>
          <t>erin~:</t>
        </r>
        <r>
          <rPr>
            <sz val="9"/>
            <color indexed="81"/>
            <rFont val="Tahoma"/>
            <charset val="1"/>
          </rPr>
          <t xml:space="preserve">
river elevation was 622 masl, Valley elevation was 624 masl</t>
        </r>
      </text>
    </comment>
    <comment ref="E28" authorId="0" shapeId="0" xr:uid="{00000000-0006-0000-0300-00000C000000}">
      <text>
        <r>
          <rPr>
            <b/>
            <sz val="9"/>
            <color indexed="81"/>
            <rFont val="Tahoma"/>
            <charset val="1"/>
          </rPr>
          <t>erin~:</t>
        </r>
        <r>
          <rPr>
            <sz val="9"/>
            <color indexed="81"/>
            <rFont val="Tahoma"/>
            <charset val="1"/>
          </rPr>
          <t xml:space="preserve">
initial reading was 110cm, divided into 10 sections, but the last section had no water flow when we measured it, so it was removed from the width (110-11=99cm)</t>
        </r>
      </text>
    </comment>
    <comment ref="C37" authorId="0" shapeId="0" xr:uid="{00000000-0006-0000-0300-00000D000000}">
      <text>
        <r>
          <rPr>
            <b/>
            <sz val="9"/>
            <color indexed="81"/>
            <rFont val="Tahoma"/>
            <charset val="1"/>
          </rPr>
          <t>erin~:</t>
        </r>
        <r>
          <rPr>
            <sz val="9"/>
            <color indexed="81"/>
            <rFont val="Tahoma"/>
            <charset val="1"/>
          </rPr>
          <t xml:space="preserve">
bankful is base of mountain valley. </t>
        </r>
      </text>
    </comment>
    <comment ref="C38" authorId="0" shapeId="0" xr:uid="{00000000-0006-0000-0300-00000E000000}">
      <text>
        <r>
          <rPr>
            <b/>
            <sz val="9"/>
            <color indexed="81"/>
            <rFont val="Tahoma"/>
            <charset val="1"/>
          </rPr>
          <t>erin~:</t>
        </r>
        <r>
          <rPr>
            <sz val="9"/>
            <color indexed="81"/>
            <rFont val="Tahoma"/>
            <charset val="1"/>
          </rPr>
          <t xml:space="preserve">
bankful is base of mountain valley. </t>
        </r>
      </text>
    </comment>
    <comment ref="C39" authorId="0" shapeId="0" xr:uid="{00000000-0006-0000-0300-00000F000000}">
      <text>
        <r>
          <rPr>
            <b/>
            <sz val="9"/>
            <color indexed="81"/>
            <rFont val="Tahoma"/>
            <charset val="1"/>
          </rPr>
          <t>erin~:</t>
        </r>
        <r>
          <rPr>
            <sz val="9"/>
            <color indexed="81"/>
            <rFont val="Tahoma"/>
            <charset val="1"/>
          </rPr>
          <t xml:space="preserve">
bankful is base of mountain valley. </t>
        </r>
      </text>
    </comment>
    <comment ref="C40" authorId="0" shapeId="0" xr:uid="{00000000-0006-0000-0300-000010000000}">
      <text>
        <r>
          <rPr>
            <b/>
            <sz val="9"/>
            <color indexed="81"/>
            <rFont val="Tahoma"/>
            <charset val="1"/>
          </rPr>
          <t>erin~:</t>
        </r>
        <r>
          <rPr>
            <sz val="9"/>
            <color indexed="81"/>
            <rFont val="Tahoma"/>
            <charset val="1"/>
          </rPr>
          <t xml:space="preserve">
bankful is base of mountain valley. </t>
        </r>
      </text>
    </comment>
    <comment ref="C62" authorId="0" shapeId="0" xr:uid="{00000000-0006-0000-0300-000011000000}">
      <text>
        <r>
          <rPr>
            <b/>
            <sz val="9"/>
            <color indexed="81"/>
            <rFont val="Tahoma"/>
            <charset val="1"/>
          </rPr>
          <t>erin~:</t>
        </r>
        <r>
          <rPr>
            <sz val="9"/>
            <color indexed="81"/>
            <rFont val="Tahoma"/>
            <charset val="1"/>
          </rPr>
          <t xml:space="preserve">
FROM MEMORY several hours later
</t>
        </r>
      </text>
    </comment>
    <comment ref="D62" authorId="0" shapeId="0" xr:uid="{00000000-0006-0000-0300-000012000000}">
      <text>
        <r>
          <rPr>
            <b/>
            <sz val="9"/>
            <color indexed="81"/>
            <rFont val="Tahoma"/>
            <charset val="1"/>
          </rPr>
          <t>erin~:</t>
        </r>
        <r>
          <rPr>
            <sz val="9"/>
            <color indexed="81"/>
            <rFont val="Tahoma"/>
            <charset val="1"/>
          </rPr>
          <t xml:space="preserve">
FROM MEMORY several hours later</t>
        </r>
      </text>
    </comment>
    <comment ref="C63" authorId="0" shapeId="0" xr:uid="{00000000-0006-0000-0300-000013000000}">
      <text>
        <r>
          <rPr>
            <b/>
            <sz val="9"/>
            <color indexed="81"/>
            <rFont val="Tahoma"/>
            <charset val="1"/>
          </rPr>
          <t>erin~:</t>
        </r>
        <r>
          <rPr>
            <sz val="9"/>
            <color indexed="81"/>
            <rFont val="Tahoma"/>
            <charset val="1"/>
          </rPr>
          <t xml:space="preserve">
FROM MEMORY several hours later
</t>
        </r>
      </text>
    </comment>
    <comment ref="D63" authorId="0" shapeId="0" xr:uid="{00000000-0006-0000-0300-000014000000}">
      <text>
        <r>
          <rPr>
            <b/>
            <sz val="9"/>
            <color indexed="81"/>
            <rFont val="Tahoma"/>
            <charset val="1"/>
          </rPr>
          <t>erin~:</t>
        </r>
        <r>
          <rPr>
            <sz val="9"/>
            <color indexed="81"/>
            <rFont val="Tahoma"/>
            <charset val="1"/>
          </rPr>
          <t xml:space="preserve">
FROM MEMORY several hours later</t>
        </r>
      </text>
    </comment>
    <comment ref="C64" authorId="0" shapeId="0" xr:uid="{00000000-0006-0000-0300-000015000000}">
      <text>
        <r>
          <rPr>
            <b/>
            <sz val="9"/>
            <color indexed="81"/>
            <rFont val="Tahoma"/>
            <charset val="1"/>
          </rPr>
          <t>erin~:</t>
        </r>
        <r>
          <rPr>
            <sz val="9"/>
            <color indexed="81"/>
            <rFont val="Tahoma"/>
            <charset val="1"/>
          </rPr>
          <t xml:space="preserve">
FROM MEMORY several hours later
</t>
        </r>
      </text>
    </comment>
    <comment ref="D64" authorId="0" shapeId="0" xr:uid="{00000000-0006-0000-0300-000016000000}">
      <text>
        <r>
          <rPr>
            <b/>
            <sz val="9"/>
            <color indexed="81"/>
            <rFont val="Tahoma"/>
            <charset val="1"/>
          </rPr>
          <t>erin~:</t>
        </r>
        <r>
          <rPr>
            <sz val="9"/>
            <color indexed="81"/>
            <rFont val="Tahoma"/>
            <charset val="1"/>
          </rPr>
          <t xml:space="preserve">
FROM MEMORY several hours later</t>
        </r>
      </text>
    </comment>
    <comment ref="C65" authorId="0" shapeId="0" xr:uid="{00000000-0006-0000-0300-000017000000}">
      <text>
        <r>
          <rPr>
            <b/>
            <sz val="9"/>
            <color indexed="81"/>
            <rFont val="Tahoma"/>
            <charset val="1"/>
          </rPr>
          <t>erin~:</t>
        </r>
        <r>
          <rPr>
            <sz val="9"/>
            <color indexed="81"/>
            <rFont val="Tahoma"/>
            <charset val="1"/>
          </rPr>
          <t xml:space="preserve">
FROM MEMORY several hours later
</t>
        </r>
      </text>
    </comment>
    <comment ref="D65" authorId="0" shapeId="0" xr:uid="{00000000-0006-0000-0300-000018000000}">
      <text>
        <r>
          <rPr>
            <b/>
            <sz val="9"/>
            <color indexed="81"/>
            <rFont val="Tahoma"/>
            <charset val="1"/>
          </rPr>
          <t>erin~:</t>
        </r>
        <r>
          <rPr>
            <sz val="9"/>
            <color indexed="81"/>
            <rFont val="Tahoma"/>
            <charset val="1"/>
          </rPr>
          <t xml:space="preserve">
FROM MEMORY several hours later</t>
        </r>
      </text>
    </comment>
    <comment ref="D66" authorId="0" shapeId="0" xr:uid="{00000000-0006-0000-0300-000019000000}">
      <text>
        <r>
          <rPr>
            <b/>
            <sz val="9"/>
            <color indexed="81"/>
            <rFont val="Tahoma"/>
            <charset val="1"/>
          </rPr>
          <t>erin~:</t>
        </r>
        <r>
          <rPr>
            <sz val="9"/>
            <color indexed="81"/>
            <rFont val="Tahoma"/>
            <charset val="1"/>
          </rPr>
          <t xml:space="preserve">
height is difficult to guage (guestimated)</t>
        </r>
      </text>
    </comment>
    <comment ref="D67" authorId="0" shapeId="0" xr:uid="{00000000-0006-0000-0300-00001A000000}">
      <text>
        <r>
          <rPr>
            <b/>
            <sz val="9"/>
            <color indexed="81"/>
            <rFont val="Tahoma"/>
            <charset val="1"/>
          </rPr>
          <t>erin~:</t>
        </r>
        <r>
          <rPr>
            <sz val="9"/>
            <color indexed="81"/>
            <rFont val="Tahoma"/>
            <charset val="1"/>
          </rPr>
          <t xml:space="preserve">
height is difficult to guage (guestimated)</t>
        </r>
      </text>
    </comment>
    <comment ref="D68" authorId="0" shapeId="0" xr:uid="{00000000-0006-0000-0300-00001B000000}">
      <text>
        <r>
          <rPr>
            <b/>
            <sz val="9"/>
            <color indexed="81"/>
            <rFont val="Tahoma"/>
            <charset val="1"/>
          </rPr>
          <t>erin~:</t>
        </r>
        <r>
          <rPr>
            <sz val="9"/>
            <color indexed="81"/>
            <rFont val="Tahoma"/>
            <charset val="1"/>
          </rPr>
          <t xml:space="preserve">
height is difficult to guage (guestimated)</t>
        </r>
      </text>
    </comment>
    <comment ref="D69" authorId="0" shapeId="0" xr:uid="{00000000-0006-0000-0300-00001C000000}">
      <text>
        <r>
          <rPr>
            <b/>
            <sz val="9"/>
            <color indexed="81"/>
            <rFont val="Tahoma"/>
            <charset val="1"/>
          </rPr>
          <t>erin~:</t>
        </r>
        <r>
          <rPr>
            <sz val="9"/>
            <color indexed="81"/>
            <rFont val="Tahoma"/>
            <charset val="1"/>
          </rPr>
          <t xml:space="preserve">
height is difficult to guage (guestimated)</t>
        </r>
      </text>
    </comment>
    <comment ref="D70" authorId="0" shapeId="0" xr:uid="{00000000-0006-0000-0300-00001D000000}">
      <text>
        <r>
          <rPr>
            <b/>
            <sz val="9"/>
            <color indexed="81"/>
            <rFont val="Tahoma"/>
            <charset val="1"/>
          </rPr>
          <t>erin~:</t>
        </r>
        <r>
          <rPr>
            <sz val="9"/>
            <color indexed="81"/>
            <rFont val="Tahoma"/>
            <charset val="1"/>
          </rPr>
          <t xml:space="preserve">
height is difficult to guage (guestimated)</t>
        </r>
      </text>
    </comment>
    <comment ref="D71" authorId="0" shapeId="0" xr:uid="{00000000-0006-0000-0300-00001E000000}">
      <text>
        <r>
          <rPr>
            <b/>
            <sz val="9"/>
            <color indexed="81"/>
            <rFont val="Tahoma"/>
            <charset val="1"/>
          </rPr>
          <t>erin~:</t>
        </r>
        <r>
          <rPr>
            <sz val="9"/>
            <color indexed="81"/>
            <rFont val="Tahoma"/>
            <charset val="1"/>
          </rPr>
          <t xml:space="preserve">
height is difficult to guage (guestimated)</t>
        </r>
      </text>
    </comment>
    <comment ref="B72" authorId="0" shapeId="0" xr:uid="{00000000-0006-0000-0300-00001F000000}">
      <text>
        <r>
          <rPr>
            <b/>
            <sz val="9"/>
            <color indexed="81"/>
            <rFont val="Tahoma"/>
            <family val="2"/>
          </rPr>
          <t>erin~:</t>
        </r>
        <r>
          <rPr>
            <sz val="9"/>
            <color indexed="81"/>
            <rFont val="Tahoma"/>
            <family val="2"/>
          </rPr>
          <t xml:space="preserve">
very nice site
</t>
        </r>
      </text>
    </comment>
    <comment ref="B73" authorId="0" shapeId="0" xr:uid="{00000000-0006-0000-0300-000020000000}">
      <text>
        <r>
          <rPr>
            <b/>
            <sz val="9"/>
            <color indexed="81"/>
            <rFont val="Tahoma"/>
            <family val="2"/>
          </rPr>
          <t>erin~:</t>
        </r>
        <r>
          <rPr>
            <sz val="9"/>
            <color indexed="81"/>
            <rFont val="Tahoma"/>
            <family val="2"/>
          </rPr>
          <t xml:space="preserve">
very nice site
</t>
        </r>
      </text>
    </comment>
    <comment ref="B74" authorId="0" shapeId="0" xr:uid="{00000000-0006-0000-0300-000021000000}">
      <text>
        <r>
          <rPr>
            <b/>
            <sz val="9"/>
            <color indexed="81"/>
            <rFont val="Tahoma"/>
            <family val="2"/>
          </rPr>
          <t>erin~:</t>
        </r>
        <r>
          <rPr>
            <sz val="9"/>
            <color indexed="81"/>
            <rFont val="Tahoma"/>
            <family val="2"/>
          </rPr>
          <t xml:space="preserve">
very nice site
</t>
        </r>
      </text>
    </comment>
    <comment ref="B75" authorId="0" shapeId="0" xr:uid="{00000000-0006-0000-0300-000022000000}">
      <text>
        <r>
          <rPr>
            <b/>
            <sz val="9"/>
            <color indexed="81"/>
            <rFont val="Tahoma"/>
            <family val="2"/>
          </rPr>
          <t>erin~:</t>
        </r>
        <r>
          <rPr>
            <sz val="9"/>
            <color indexed="81"/>
            <rFont val="Tahoma"/>
            <family val="2"/>
          </rPr>
          <t xml:space="preserve">
very nice site
</t>
        </r>
      </text>
    </comment>
    <comment ref="B76" authorId="0" shapeId="0" xr:uid="{00000000-0006-0000-0300-000023000000}">
      <text>
        <r>
          <rPr>
            <b/>
            <sz val="9"/>
            <color indexed="81"/>
            <rFont val="Tahoma"/>
            <family val="2"/>
          </rPr>
          <t>erin~:</t>
        </r>
        <r>
          <rPr>
            <sz val="9"/>
            <color indexed="81"/>
            <rFont val="Tahoma"/>
            <family val="2"/>
          </rPr>
          <t xml:space="preserve">
very nice site
</t>
        </r>
      </text>
    </comment>
    <comment ref="B77" authorId="0" shapeId="0" xr:uid="{00000000-0006-0000-0300-000024000000}">
      <text>
        <r>
          <rPr>
            <b/>
            <sz val="9"/>
            <color indexed="81"/>
            <rFont val="Tahoma"/>
            <family val="2"/>
          </rPr>
          <t>erin~:</t>
        </r>
        <r>
          <rPr>
            <sz val="9"/>
            <color indexed="81"/>
            <rFont val="Tahoma"/>
            <family val="2"/>
          </rPr>
          <t xml:space="preserve">
very nice site
</t>
        </r>
      </text>
    </comment>
    <comment ref="B78" authorId="0" shapeId="0" xr:uid="{00000000-0006-0000-0300-000025000000}">
      <text>
        <r>
          <rPr>
            <b/>
            <sz val="9"/>
            <color indexed="81"/>
            <rFont val="Tahoma"/>
            <family val="2"/>
          </rPr>
          <t>erin~:</t>
        </r>
        <r>
          <rPr>
            <sz val="9"/>
            <color indexed="81"/>
            <rFont val="Tahoma"/>
            <family val="2"/>
          </rPr>
          <t xml:space="preserve">
very nice site
</t>
        </r>
      </text>
    </comment>
    <comment ref="B79" authorId="0" shapeId="0" xr:uid="{00000000-0006-0000-0300-000026000000}">
      <text>
        <r>
          <rPr>
            <b/>
            <sz val="9"/>
            <color indexed="81"/>
            <rFont val="Tahoma"/>
            <family val="2"/>
          </rPr>
          <t>erin~:</t>
        </r>
        <r>
          <rPr>
            <sz val="9"/>
            <color indexed="81"/>
            <rFont val="Tahoma"/>
            <family val="2"/>
          </rPr>
          <t xml:space="preserve">
very nice site
</t>
        </r>
      </text>
    </comment>
    <comment ref="B80" authorId="0" shapeId="0" xr:uid="{00000000-0006-0000-0300-000027000000}">
      <text>
        <r>
          <rPr>
            <b/>
            <sz val="9"/>
            <color indexed="81"/>
            <rFont val="Tahoma"/>
            <family val="2"/>
          </rPr>
          <t>erin~:</t>
        </r>
        <r>
          <rPr>
            <sz val="9"/>
            <color indexed="81"/>
            <rFont val="Tahoma"/>
            <family val="2"/>
          </rPr>
          <t xml:space="preserve">
very nice site
</t>
        </r>
      </text>
    </comment>
    <comment ref="B81" authorId="0" shapeId="0" xr:uid="{00000000-0006-0000-0300-000028000000}">
      <text>
        <r>
          <rPr>
            <b/>
            <sz val="9"/>
            <color indexed="81"/>
            <rFont val="Tahoma"/>
            <family val="2"/>
          </rPr>
          <t>erin~:</t>
        </r>
        <r>
          <rPr>
            <sz val="9"/>
            <color indexed="81"/>
            <rFont val="Tahoma"/>
            <family val="2"/>
          </rPr>
          <t xml:space="preserve">
very nice site
</t>
        </r>
      </text>
    </comment>
    <comment ref="C110" authorId="0" shapeId="0" xr:uid="{00000000-0006-0000-0300-000029000000}">
      <text>
        <r>
          <rPr>
            <b/>
            <sz val="9"/>
            <color indexed="81"/>
            <rFont val="Tahoma"/>
            <family val="2"/>
          </rPr>
          <t>erin~:</t>
        </r>
        <r>
          <rPr>
            <sz val="9"/>
            <color indexed="81"/>
            <rFont val="Tahoma"/>
            <family val="2"/>
          </rPr>
          <t xml:space="preserve">
in book recorded as 36, but mixed up with wetted width. </t>
        </r>
      </text>
    </comment>
    <comment ref="E110" authorId="0" shapeId="0" xr:uid="{00000000-0006-0000-0300-00002A000000}">
      <text>
        <r>
          <rPr>
            <b/>
            <sz val="9"/>
            <color indexed="81"/>
            <rFont val="Tahoma"/>
            <family val="2"/>
          </rPr>
          <t>erin~:</t>
        </r>
        <r>
          <rPr>
            <sz val="9"/>
            <color indexed="81"/>
            <rFont val="Tahoma"/>
            <family val="2"/>
          </rPr>
          <t xml:space="preserve">
in book recorded as 521, but mixed up with bankful width
</t>
        </r>
      </text>
    </comment>
    <comment ref="K217" authorId="0" shapeId="0" xr:uid="{00000000-0006-0000-0300-00002B000000}">
      <text>
        <r>
          <rPr>
            <b/>
            <sz val="9"/>
            <color indexed="81"/>
            <rFont val="Tahoma"/>
            <family val="2"/>
          </rPr>
          <t>erin~:</t>
        </r>
        <r>
          <rPr>
            <sz val="9"/>
            <color indexed="81"/>
            <rFont val="Tahoma"/>
            <family val="2"/>
          </rPr>
          <t xml:space="preserve">
stray slight into 1st/2nd section</t>
        </r>
      </text>
    </comment>
    <comment ref="J218" authorId="0" shapeId="0" xr:uid="{00000000-0006-0000-0300-00002C000000}">
      <text>
        <r>
          <rPr>
            <b/>
            <sz val="9"/>
            <color indexed="81"/>
            <rFont val="Tahoma"/>
            <family val="2"/>
          </rPr>
          <t>erin~:</t>
        </r>
        <r>
          <rPr>
            <sz val="9"/>
            <color indexed="81"/>
            <rFont val="Tahoma"/>
            <family val="2"/>
          </rPr>
          <t xml:space="preserve">
stray slightly into 2nd/3rd section</t>
        </r>
      </text>
    </comment>
    <comment ref="B237" authorId="0" shapeId="0" xr:uid="{00000000-0006-0000-0300-00002D000000}">
      <text>
        <r>
          <rPr>
            <b/>
            <sz val="9"/>
            <color indexed="81"/>
            <rFont val="Tahoma"/>
            <family val="2"/>
          </rPr>
          <t>erin~:</t>
        </r>
        <r>
          <rPr>
            <sz val="9"/>
            <color indexed="81"/>
            <rFont val="Tahoma"/>
            <family val="2"/>
          </rPr>
          <t xml:space="preserve">
PP03</t>
        </r>
      </text>
    </comment>
    <comment ref="J237" authorId="0" shapeId="0" xr:uid="{00000000-0006-0000-0300-00002E000000}">
      <text>
        <r>
          <rPr>
            <b/>
            <sz val="9"/>
            <color indexed="81"/>
            <rFont val="Tahoma"/>
            <family val="2"/>
          </rPr>
          <t>erin~:</t>
        </r>
        <r>
          <rPr>
            <sz val="9"/>
            <color indexed="81"/>
            <rFont val="Tahoma"/>
            <family val="2"/>
          </rPr>
          <t xml:space="preserve">
this is the right time, since the first attempt was 6.71 but got stuck on a stick</t>
        </r>
      </text>
    </comment>
    <comment ref="H241" authorId="0" shapeId="0" xr:uid="{00000000-0006-0000-0300-00002F000000}">
      <text>
        <r>
          <rPr>
            <b/>
            <sz val="9"/>
            <color indexed="81"/>
            <rFont val="Tahoma"/>
            <family val="2"/>
          </rPr>
          <t>erin~:</t>
        </r>
        <r>
          <rPr>
            <sz val="9"/>
            <color indexed="81"/>
            <rFont val="Tahoma"/>
            <family val="2"/>
          </rPr>
          <t xml:space="preserve">
2.4 m from top, converted to a "from bottom depth" 315-240=75cm
DEPTH FROM BOTTOM IS APPROX 75 CM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erin~</author>
  </authors>
  <commentList>
    <comment ref="C68" authorId="0" shapeId="0" xr:uid="{00000000-0006-0000-0400-000001000000}">
      <text>
        <r>
          <rPr>
            <b/>
            <sz val="9"/>
            <color indexed="81"/>
            <rFont val="Tahoma"/>
            <family val="2"/>
          </rPr>
          <t>erin~:</t>
        </r>
        <r>
          <rPr>
            <sz val="9"/>
            <color indexed="81"/>
            <rFont val="Tahoma"/>
            <family val="2"/>
          </rPr>
          <t xml:space="preserve">
not recorded - from memory</t>
        </r>
      </text>
    </comment>
    <comment ref="C69" authorId="0" shapeId="0" xr:uid="{00000000-0006-0000-0400-000002000000}">
      <text>
        <r>
          <rPr>
            <b/>
            <sz val="9"/>
            <color indexed="81"/>
            <rFont val="Tahoma"/>
            <family val="2"/>
          </rPr>
          <t>erin~:</t>
        </r>
        <r>
          <rPr>
            <sz val="9"/>
            <color indexed="81"/>
            <rFont val="Tahoma"/>
            <family val="2"/>
          </rPr>
          <t xml:space="preserve">
not recorded - from memory</t>
        </r>
      </text>
    </comment>
    <comment ref="C70" authorId="0" shapeId="0" xr:uid="{00000000-0006-0000-0400-000003000000}">
      <text>
        <r>
          <rPr>
            <b/>
            <sz val="9"/>
            <color indexed="81"/>
            <rFont val="Tahoma"/>
            <family val="2"/>
          </rPr>
          <t>erin~:</t>
        </r>
        <r>
          <rPr>
            <sz val="9"/>
            <color indexed="81"/>
            <rFont val="Tahoma"/>
            <family val="2"/>
          </rPr>
          <t xml:space="preserve">
not recorded - from memory</t>
        </r>
      </text>
    </comment>
    <comment ref="C71" authorId="0" shapeId="0" xr:uid="{00000000-0006-0000-0400-000004000000}">
      <text>
        <r>
          <rPr>
            <b/>
            <sz val="9"/>
            <color indexed="81"/>
            <rFont val="Tahoma"/>
            <family val="2"/>
          </rPr>
          <t>erin~:</t>
        </r>
        <r>
          <rPr>
            <sz val="9"/>
            <color indexed="81"/>
            <rFont val="Tahoma"/>
            <family val="2"/>
          </rPr>
          <t xml:space="preserve">
not recorded - from memory
</t>
        </r>
      </text>
    </comment>
    <comment ref="C72" authorId="0" shapeId="0" xr:uid="{00000000-0006-0000-0400-000005000000}">
      <text>
        <r>
          <rPr>
            <b/>
            <sz val="9"/>
            <color indexed="81"/>
            <rFont val="Tahoma"/>
            <family val="2"/>
          </rPr>
          <t>erin~:</t>
        </r>
        <r>
          <rPr>
            <sz val="9"/>
            <color indexed="81"/>
            <rFont val="Tahoma"/>
            <family val="2"/>
          </rPr>
          <t xml:space="preserve">
not recorded - from memory
</t>
        </r>
      </text>
    </comment>
    <comment ref="C73" authorId="0" shapeId="0" xr:uid="{00000000-0006-0000-0400-000006000000}">
      <text>
        <r>
          <rPr>
            <b/>
            <sz val="9"/>
            <color indexed="81"/>
            <rFont val="Tahoma"/>
            <family val="2"/>
          </rPr>
          <t>erin~:</t>
        </r>
        <r>
          <rPr>
            <sz val="9"/>
            <color indexed="81"/>
            <rFont val="Tahoma"/>
            <family val="2"/>
          </rPr>
          <t xml:space="preserve">
not recorded - from memory
</t>
        </r>
      </text>
    </comment>
    <comment ref="D83" authorId="0" shapeId="0" xr:uid="{00000000-0006-0000-0400-000007000000}">
      <text>
        <r>
          <rPr>
            <b/>
            <sz val="9"/>
            <color indexed="81"/>
            <rFont val="Tahoma"/>
            <charset val="1"/>
          </rPr>
          <t>erin~:</t>
        </r>
        <r>
          <rPr>
            <sz val="9"/>
            <color indexed="81"/>
            <rFont val="Tahoma"/>
            <charset val="1"/>
          </rPr>
          <t xml:space="preserve">
straight, slight meader
</t>
        </r>
      </text>
    </comment>
    <comment ref="D84" authorId="0" shapeId="0" xr:uid="{00000000-0006-0000-0400-000008000000}">
      <text>
        <r>
          <rPr>
            <b/>
            <sz val="9"/>
            <color indexed="81"/>
            <rFont val="Tahoma"/>
            <charset val="1"/>
          </rPr>
          <t>erin~:</t>
        </r>
        <r>
          <rPr>
            <sz val="9"/>
            <color indexed="81"/>
            <rFont val="Tahoma"/>
            <charset val="1"/>
          </rPr>
          <t xml:space="preserve">
straight, slight meader
</t>
        </r>
      </text>
    </comment>
    <comment ref="D85" authorId="0" shapeId="0" xr:uid="{00000000-0006-0000-0400-000009000000}">
      <text>
        <r>
          <rPr>
            <b/>
            <sz val="9"/>
            <color indexed="81"/>
            <rFont val="Tahoma"/>
            <charset val="1"/>
          </rPr>
          <t>erin~:</t>
        </r>
        <r>
          <rPr>
            <sz val="9"/>
            <color indexed="81"/>
            <rFont val="Tahoma"/>
            <charset val="1"/>
          </rPr>
          <t xml:space="preserve">
straight, slight meader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erin~</author>
  </authors>
  <commentList>
    <comment ref="F776" authorId="0" shapeId="0" xr:uid="{00000000-0006-0000-0500-000001000000}">
      <text>
        <r>
          <rPr>
            <b/>
            <sz val="9"/>
            <color indexed="81"/>
            <rFont val="Tahoma"/>
            <charset val="1"/>
          </rPr>
          <t>erin~:</t>
        </r>
        <r>
          <rPr>
            <sz val="9"/>
            <color indexed="81"/>
            <rFont val="Tahoma"/>
            <charset val="1"/>
          </rPr>
          <t xml:space="preserve">
recorded as 3.2, but there is no size.</t>
        </r>
      </text>
    </comment>
    <comment ref="F1494" authorId="0" shapeId="0" xr:uid="{00000000-0006-0000-0500-000002000000}">
      <text>
        <r>
          <rPr>
            <b/>
            <sz val="9"/>
            <color indexed="81"/>
            <rFont val="Tahoma"/>
            <family val="2"/>
          </rPr>
          <t>erin~:</t>
        </r>
        <r>
          <rPr>
            <sz val="9"/>
            <color indexed="81"/>
            <rFont val="Tahoma"/>
            <family val="2"/>
          </rPr>
          <t xml:space="preserve">
in book as 4.2 but not a size, Sarah said it is likely 32
</t>
        </r>
      </text>
    </comment>
    <comment ref="F2671" authorId="0" shapeId="0" xr:uid="{00000000-0006-0000-0500-000003000000}">
      <text>
        <r>
          <rPr>
            <b/>
            <sz val="9"/>
            <color indexed="81"/>
            <rFont val="Tahoma"/>
            <family val="2"/>
          </rPr>
          <t>erin~:</t>
        </r>
        <r>
          <rPr>
            <sz val="9"/>
            <color indexed="81"/>
            <rFont val="Tahoma"/>
            <family val="2"/>
          </rPr>
          <t xml:space="preserve">
recorded as 32.6</t>
        </r>
      </text>
    </comment>
    <comment ref="F2692" authorId="0" shapeId="0" xr:uid="{00000000-0006-0000-0500-000004000000}">
      <text>
        <r>
          <rPr>
            <b/>
            <sz val="9"/>
            <color indexed="81"/>
            <rFont val="Tahoma"/>
            <family val="2"/>
          </rPr>
          <t>erin~:</t>
        </r>
        <r>
          <rPr>
            <sz val="9"/>
            <color indexed="81"/>
            <rFont val="Tahoma"/>
            <family val="2"/>
          </rPr>
          <t xml:space="preserve">
recorded 82</t>
        </r>
      </text>
    </comment>
  </commentList>
</comments>
</file>

<file path=xl/sharedStrings.xml><?xml version="1.0" encoding="utf-8"?>
<sst xmlns="http://schemas.openxmlformats.org/spreadsheetml/2006/main" count="9995" uniqueCount="395">
  <si>
    <t>spike samples in Phosph 00 contained a 250 uL spike of 10^3 standard into 25 mL of sample, follow spike recovery calculations to calculate recovery</t>
  </si>
  <si>
    <t>Phosph00 - Test RUN, DO NOT USE DATA FOR SE-DN in this spreadsheet, this test run used leftover water that was sitting in the fridge for a week which may explain the higher absorbance seen in these samples (organics converting to inorganics</t>
  </si>
  <si>
    <t>SurveyPhosph</t>
  </si>
  <si>
    <t xml:space="preserve">Contact: Scott Zolkos (zolkos@ualberta.ca) or Sarah Shakil (shakil@ualberta.ca) </t>
  </si>
  <si>
    <t>- Leave no empty cell (!)- if truly empty, record as NA; otherwise, document in notes why cell is empty</t>
  </si>
  <si>
    <t>- Enter time in 24h-format (e.g. 9:30 PM = 2130)</t>
  </si>
  <si>
    <t>- Enter dates in MM/DD/YY format (e.g. June 22, 2016 = 06/22/16)</t>
  </si>
  <si>
    <t>- Ensure all decimal places are recorded and displayed in spreadsheets</t>
  </si>
  <si>
    <t>- Double-check field notebookes to ensure all values are entered - and entered correctly - into spreadsheets</t>
  </si>
  <si>
    <t>Data entry</t>
  </si>
  <si>
    <t>The data in these spreadsheets are RAW and UNPROCESSED. i.e., it has not undergone QA/QC.</t>
  </si>
  <si>
    <t>These spreadsheets contain data for Sarah's samples collected during the 2016 field season.</t>
  </si>
  <si>
    <t>Background</t>
  </si>
  <si>
    <t>PERMAFROST THAW STREAMS 2017</t>
  </si>
  <si>
    <t>Date (MMDDYY)</t>
  </si>
  <si>
    <t>Site</t>
  </si>
  <si>
    <t>Bankful Width (cm)</t>
  </si>
  <si>
    <t>Wetted Width (cm)</t>
  </si>
  <si>
    <t>Channel Segment #</t>
  </si>
  <si>
    <t>Channel Depth (cm)</t>
  </si>
  <si>
    <t>Mmt Duration (s)</t>
  </si>
  <si>
    <t>Mmt #1</t>
  </si>
  <si>
    <t>Mmt #2</t>
  </si>
  <si>
    <t>Mmt #3</t>
  </si>
  <si>
    <t>Notes</t>
  </si>
  <si>
    <t>SC</t>
  </si>
  <si>
    <t>NA</t>
  </si>
  <si>
    <t xml:space="preserve">Height (cm) -Bankful to water surface </t>
  </si>
  <si>
    <t>Propeller Depth (cm)</t>
  </si>
  <si>
    <t>bottom</t>
  </si>
  <si>
    <t xml:space="preserve">Bankful width measured diagonally, near meandering bends. Alluvial bottom. First segment for discharge had no measurable flow because the water was flowing diagonally towards the bank. </t>
  </si>
  <si>
    <t xml:space="preserve">Sliding bed. </t>
  </si>
  <si>
    <t>Date</t>
  </si>
  <si>
    <t>Time</t>
  </si>
  <si>
    <t>Conditions</t>
  </si>
  <si>
    <t>DO (%)</t>
  </si>
  <si>
    <t>DO (mg/L)</t>
  </si>
  <si>
    <t>Cond (uS/cm)</t>
  </si>
  <si>
    <t>pH</t>
  </si>
  <si>
    <t>SC-1</t>
  </si>
  <si>
    <t>Latitude (°N)</t>
  </si>
  <si>
    <t>Longitude (°W)</t>
  </si>
  <si>
    <t>Cloud Cover (%)</t>
  </si>
  <si>
    <t>Winds</t>
  </si>
  <si>
    <t>sunny</t>
  </si>
  <si>
    <t>strong</t>
  </si>
  <si>
    <t>YSI</t>
  </si>
  <si>
    <t>Method</t>
  </si>
  <si>
    <t xml:space="preserve">Oakton </t>
  </si>
  <si>
    <t>Location</t>
  </si>
  <si>
    <t>Steep bank cut, meandering portion.</t>
  </si>
  <si>
    <t>SC-10</t>
  </si>
  <si>
    <t>Temp (°C)</t>
  </si>
  <si>
    <t>Pressure (atm)</t>
  </si>
  <si>
    <t>Taken almost 3 hours after initial YSI measurements</t>
  </si>
  <si>
    <t>Taken almost an hour after initial YSI measurement</t>
  </si>
  <si>
    <t>Calibration</t>
  </si>
  <si>
    <t>SC-5</t>
  </si>
  <si>
    <t xml:space="preserve">Taken almost 2 hours after initial YSI measurements. </t>
  </si>
  <si>
    <t>forgot to record DO</t>
  </si>
  <si>
    <t>F#</t>
  </si>
  <si>
    <t>Vol (mL)</t>
  </si>
  <si>
    <t>PreWeight</t>
  </si>
  <si>
    <t>PostWeight</t>
  </si>
  <si>
    <t xml:space="preserve">Type </t>
  </si>
  <si>
    <t>SC-071017-1</t>
  </si>
  <si>
    <t>POCa</t>
  </si>
  <si>
    <t>POC</t>
  </si>
  <si>
    <t>Chl a</t>
  </si>
  <si>
    <t>PO14C</t>
  </si>
  <si>
    <t>BEPOM</t>
  </si>
  <si>
    <t>SC-071017-2</t>
  </si>
  <si>
    <t>FTIR</t>
  </si>
  <si>
    <t>THIS IS MID-SC</t>
  </si>
  <si>
    <t>Didn't calibrate pH, reading @ 7.0, 10.0, 4.0</t>
  </si>
  <si>
    <t>cloudy</t>
  </si>
  <si>
    <t xml:space="preserve">strong </t>
  </si>
  <si>
    <t>partly sunny</t>
  </si>
  <si>
    <t>moderate</t>
  </si>
  <si>
    <t xml:space="preserve">conductivity calibrated, oakton pH didn't read to be </t>
  </si>
  <si>
    <t>slight</t>
  </si>
  <si>
    <t>near sedges</t>
  </si>
  <si>
    <t>27-SS02LU</t>
  </si>
  <si>
    <t>13-SS02MU</t>
  </si>
  <si>
    <t>48-SS08LI</t>
  </si>
  <si>
    <t>3 pt calibration</t>
  </si>
  <si>
    <t>26-SS01LU</t>
  </si>
  <si>
    <t>none</t>
  </si>
  <si>
    <t>30-SS01FU</t>
  </si>
  <si>
    <t>Elevation (m)</t>
  </si>
  <si>
    <t xml:space="preserve">Conductivity new solution read 100 below previous solution. </t>
  </si>
  <si>
    <t>42-SS01BI</t>
  </si>
  <si>
    <t>very smokey, hazy</t>
  </si>
  <si>
    <t>53-SS01LU-alt1</t>
  </si>
  <si>
    <t>near rock eddy.</t>
  </si>
  <si>
    <t>eddy from rock</t>
  </si>
  <si>
    <t xml:space="preserve">rock depth. </t>
  </si>
  <si>
    <t>Distance (cm) for stick</t>
  </si>
  <si>
    <t>near bend</t>
  </si>
  <si>
    <t>m</t>
  </si>
  <si>
    <t>no measurable flow (rock blocking)</t>
  </si>
  <si>
    <t>no measurable flow. Pool on edge create eddy</t>
  </si>
  <si>
    <t xml:space="preserve">wetland sedges, stick rolling from plants on bottom of bed. </t>
  </si>
  <si>
    <t>10-SS05MU</t>
  </si>
  <si>
    <t xml:space="preserve">dried up. Riparian made of sphagnum wetland. </t>
  </si>
  <si>
    <t>"valley fills with ice in the winter"-Keith</t>
  </si>
  <si>
    <t>na</t>
  </si>
  <si>
    <t>no measurable flow, eddy/back flow</t>
  </si>
  <si>
    <t>Transect #</t>
  </si>
  <si>
    <t>Geomorph Unit (R=riffle, P=pool, B=bank)</t>
  </si>
  <si>
    <t>Hole Size &gt;</t>
  </si>
  <si>
    <t>P</t>
  </si>
  <si>
    <t>R</t>
  </si>
  <si>
    <t>B</t>
  </si>
  <si>
    <t>Count</t>
  </si>
  <si>
    <t>&lt;2</t>
  </si>
  <si>
    <t>algae bottom - not completed</t>
  </si>
  <si>
    <t>meter is partially submerged</t>
  </si>
  <si>
    <t>no flow - eddy (checked with stick)</t>
  </si>
  <si>
    <t>9-SS05MI</t>
  </si>
  <si>
    <t>0-SS02BI</t>
  </si>
  <si>
    <t>6-SS02MI</t>
  </si>
  <si>
    <t>7.01, 10.05, 4.0</t>
  </si>
  <si>
    <t>conductivity at 1408</t>
  </si>
  <si>
    <t>bar/bank</t>
  </si>
  <si>
    <t>bar</t>
  </si>
  <si>
    <t>bank</t>
  </si>
  <si>
    <t>r</t>
  </si>
  <si>
    <t xml:space="preserve">recorded as 3.2 but this is not a size, assumed to be 32. </t>
  </si>
  <si>
    <t>Bar</t>
  </si>
  <si>
    <t>p</t>
  </si>
  <si>
    <t>bar(dried up stream)</t>
  </si>
  <si>
    <t>BAR</t>
  </si>
  <si>
    <t>BK</t>
  </si>
  <si>
    <t xml:space="preserve">not enough sample. </t>
  </si>
  <si>
    <t>fell face first twice</t>
  </si>
  <si>
    <t>forgot 500 ml?? Don't think so…</t>
  </si>
  <si>
    <t>PO13C</t>
  </si>
  <si>
    <t>total was recorded as 1510 (math late at night)</t>
  </si>
  <si>
    <t>total was recorded as 1195 (math late at night)</t>
  </si>
  <si>
    <t>FTIR (2)</t>
  </si>
  <si>
    <t>Duplicate</t>
  </si>
  <si>
    <t>BEPOM (2)</t>
  </si>
  <si>
    <t>17-67</t>
  </si>
  <si>
    <t>17-4</t>
  </si>
  <si>
    <t>17-3</t>
  </si>
  <si>
    <t>POC (2)</t>
  </si>
  <si>
    <t>PO13C (2)</t>
  </si>
  <si>
    <t>6-SS02M1</t>
  </si>
  <si>
    <t xml:space="preserve">Particles caked onto lid. </t>
  </si>
  <si>
    <t>this to be used!!</t>
  </si>
  <si>
    <t>some lost on tweezer</t>
  </si>
  <si>
    <t xml:space="preserve">lost on tower, redo below. </t>
  </si>
  <si>
    <t>Proper</t>
  </si>
  <si>
    <t>7.07,10,4</t>
  </si>
  <si>
    <t>no calibration needed, reading fine</t>
  </si>
  <si>
    <t>STA</t>
  </si>
  <si>
    <t>STB</t>
  </si>
  <si>
    <t>Seg #</t>
  </si>
  <si>
    <t>Dist (m)</t>
  </si>
  <si>
    <t>Loc</t>
  </si>
  <si>
    <t>35-SS02OI</t>
  </si>
  <si>
    <t>38-SS01OI</t>
  </si>
  <si>
    <t>24-SS06LI</t>
  </si>
  <si>
    <t>23-SS05LI</t>
  </si>
  <si>
    <t>29-SS04LU</t>
  </si>
  <si>
    <t>37-SS04OI</t>
  </si>
  <si>
    <t>36-SS03OI</t>
  </si>
  <si>
    <t>a</t>
  </si>
  <si>
    <t>A</t>
  </si>
  <si>
    <t>UP</t>
  </si>
  <si>
    <t>MID</t>
  </si>
  <si>
    <t>DN</t>
  </si>
  <si>
    <t>anastomosing</t>
  </si>
  <si>
    <t>discharge site</t>
  </si>
  <si>
    <t>pool, riffle</t>
  </si>
  <si>
    <t>n</t>
  </si>
  <si>
    <t>dn</t>
  </si>
  <si>
    <t>mid</t>
  </si>
  <si>
    <t>up</t>
  </si>
  <si>
    <t>ran out of impacted segment upstream, moved "upstream" (initial 1 segment) to downstream</t>
  </si>
  <si>
    <t xml:space="preserve">NEED COORDINATES. </t>
  </si>
  <si>
    <t>NEED COORDINATES</t>
  </si>
  <si>
    <t>M /pool,riffle</t>
  </si>
  <si>
    <t>m/pool,riffle</t>
  </si>
  <si>
    <t>prop half out of water</t>
  </si>
  <si>
    <t>some backflow</t>
  </si>
  <si>
    <t>prop slightly out of water</t>
  </si>
  <si>
    <t>AA meter</t>
  </si>
  <si>
    <t>stick</t>
  </si>
  <si>
    <t>pygmy</t>
  </si>
  <si>
    <t>no flow - confirmed with stick</t>
  </si>
  <si>
    <t>Valley used as bankful, too high and mucky to measure</t>
  </si>
  <si>
    <t>measured in pool - length changed to end of rock</t>
  </si>
  <si>
    <t xml:space="preserve">wetted width changed from 110 cm to 99cm because final segment no longer had water when measured. </t>
  </si>
  <si>
    <t xml:space="preserve">rock </t>
  </si>
  <si>
    <t xml:space="preserve">no flow measured - bed not even for depth and propeller measurement. </t>
  </si>
  <si>
    <t>bankful and height is FROM MEMORY several hours later</t>
  </si>
  <si>
    <t>no flow</t>
  </si>
  <si>
    <t>b</t>
  </si>
  <si>
    <t>bk</t>
  </si>
  <si>
    <t>start at edge of bar</t>
  </si>
  <si>
    <t>missed marking transect</t>
  </si>
  <si>
    <t>slump debris tongue blocking bank</t>
  </si>
  <si>
    <t>skipped some space because of deadfall</t>
  </si>
  <si>
    <t xml:space="preserve">not going onto gap bar or fully on valley walls, 2 steps on bank; two streams were separated by bars contained within one valley. Sarah was confused about where to start. </t>
  </si>
  <si>
    <t>in book as 4.2 but not a size, sarah said likely 32</t>
  </si>
  <si>
    <t>Game Camera</t>
  </si>
  <si>
    <t>Installed:</t>
  </si>
  <si>
    <t>Height:</t>
  </si>
  <si>
    <t>cm</t>
  </si>
  <si>
    <t>discharge section</t>
  </si>
  <si>
    <t>Lat</t>
  </si>
  <si>
    <t>Long</t>
  </si>
  <si>
    <t>Elev</t>
  </si>
  <si>
    <t>Depth (cm)</t>
  </si>
  <si>
    <t>s</t>
  </si>
  <si>
    <t>peaty, wetland sedges</t>
  </si>
  <si>
    <t>glacial valley fills with ice in winter - Keith</t>
  </si>
  <si>
    <t>s / step pool</t>
  </si>
  <si>
    <t>step pool? Rocky channel but lots of sediment</t>
  </si>
  <si>
    <t xml:space="preserve">n </t>
  </si>
  <si>
    <t>step pool? Rocky channel</t>
  </si>
  <si>
    <t>limit at top of discharge area</t>
  </si>
  <si>
    <t>discharge segment</t>
  </si>
  <si>
    <t>pH calibrated, cal 2 point</t>
  </si>
  <si>
    <t>14-SS03MU</t>
  </si>
  <si>
    <t>3-SS04BU</t>
  </si>
  <si>
    <t>19-SS01LI</t>
  </si>
  <si>
    <t>20-SS02LI</t>
  </si>
  <si>
    <t>5-SS01MI</t>
  </si>
  <si>
    <t>8-SS04MI</t>
  </si>
  <si>
    <t>10-SS06MI</t>
  </si>
  <si>
    <t>raining</t>
  </si>
  <si>
    <t>partly out of water</t>
  </si>
  <si>
    <t>remeasured because initial height was from bottom to top of meter tape instead of water surface (nice one Erin)</t>
  </si>
  <si>
    <t>rock. remeasured because initial height was from bottom to top of meter tape instead of water surface (nice one Erin)</t>
  </si>
  <si>
    <t>cloudy, raining</t>
  </si>
  <si>
    <t>45 degree angle to flow because of rock</t>
  </si>
  <si>
    <t>rock</t>
  </si>
  <si>
    <t>45 degree angle to flow because of rock. Partly out of water.</t>
  </si>
  <si>
    <t>a (upstream is more rocky channel)</t>
  </si>
  <si>
    <r>
      <t xml:space="preserve">transect </t>
    </r>
    <r>
      <rPr>
        <i/>
        <sz val="10"/>
        <color rgb="FF000000"/>
        <rFont val="Arial"/>
        <family val="2"/>
      </rPr>
      <t># not recorded</t>
    </r>
  </si>
  <si>
    <t>no transect # recorded</t>
  </si>
  <si>
    <t>starting on a bar, stop a bit on bank stream carving through strong flood plain</t>
  </si>
  <si>
    <t>blank - travel</t>
  </si>
  <si>
    <t>17-16</t>
  </si>
  <si>
    <t>24-SS06LU</t>
  </si>
  <si>
    <t>29-SS03O1</t>
  </si>
  <si>
    <t>36-SS03O1</t>
  </si>
  <si>
    <t>17-82</t>
  </si>
  <si>
    <t>37-SS04O1</t>
  </si>
  <si>
    <t>23-SSO5LI</t>
  </si>
  <si>
    <t>38-SSO1OI</t>
  </si>
  <si>
    <t>17-27</t>
  </si>
  <si>
    <t>17-38</t>
  </si>
  <si>
    <t>473 (pre 38.85g) had 7mL, but too much so redid.</t>
  </si>
  <si>
    <t>17-40</t>
  </si>
  <si>
    <t>17-53</t>
  </si>
  <si>
    <t>17-45</t>
  </si>
  <si>
    <t>17-46</t>
  </si>
  <si>
    <t>Chl a (2)</t>
  </si>
  <si>
    <t>10-SS06</t>
  </si>
  <si>
    <t xml:space="preserve">Chl a </t>
  </si>
  <si>
    <t>17-43</t>
  </si>
  <si>
    <t>17-11</t>
  </si>
  <si>
    <t>17-23</t>
  </si>
  <si>
    <t>17-39</t>
  </si>
  <si>
    <t>17-50</t>
  </si>
  <si>
    <t>17-73</t>
  </si>
  <si>
    <t>17-72</t>
  </si>
  <si>
    <t>17-47</t>
  </si>
  <si>
    <t>17-44</t>
  </si>
  <si>
    <t>POCa (2)</t>
  </si>
  <si>
    <t>PO14C (2)</t>
  </si>
  <si>
    <t>book has #700 (pre is 36.81) no volume</t>
  </si>
  <si>
    <t>book has #153 (pre is 126.22) no volume</t>
  </si>
  <si>
    <t>book has pre 40.77, no volume</t>
  </si>
  <si>
    <t>book looks like 2B, but it is not to be.</t>
  </si>
  <si>
    <t>grad cylinder not rinsed; to be redone</t>
  </si>
  <si>
    <t>32-SS03FU</t>
  </si>
  <si>
    <t>31-SS02FU</t>
  </si>
  <si>
    <t>57-SS06MI-ALT1</t>
  </si>
  <si>
    <t>7-SS03MI</t>
  </si>
  <si>
    <t>YSI taken 2 days later (see 080117)</t>
  </si>
  <si>
    <t>4.0,7.0,10.0</t>
  </si>
  <si>
    <t>didn't use in field this day.</t>
  </si>
  <si>
    <t>VEGETATION: S1 - wide, rocky mountain valley. 1) north facing slope, felt leaved willows and scrub birch, alder near stream, inderstory mostly mountain avens with lupine. Calcareous bedrock (imperial fm?). 2) south facing slope taller riparian variety of willows, still no spruce, shrubbery similar but taller. 3) rocks nect to stream have scattered mats of wihelmsia physodes. - Rosemine's notes</t>
  </si>
  <si>
    <t xml:space="preserve">VEG: wide stream valley mostly rock, some tall willows and alders, upslope looks like S1, heaths, scrub birch, mountain heather present. Looks more rocky/barren than 32. </t>
  </si>
  <si>
    <t xml:space="preserve">VEG: S1 with large patches of reindeer/snow lichen and some cloudberry interspersed. Coordinates: 67.13441N, 136.03157W. Plateau with sphagnum moss, below a small ridge channeling water (probably), parts of stream grassy. Edge of ridge: 67.13486N, 136.03142W. Top of ridge (67.13508N, 136.03093W) G4 has tussock with sphagnum in between. </t>
  </si>
  <si>
    <t>cups 1/2 out</t>
  </si>
  <si>
    <t>slight upstream of line because of rock</t>
  </si>
  <si>
    <t>struggle to spin behind rocks</t>
  </si>
  <si>
    <t>sideways flow, cups were not spinning full rotations but were alternating between counter clockwise.</t>
  </si>
  <si>
    <t>some eddies</t>
  </si>
  <si>
    <t>Dn</t>
  </si>
  <si>
    <t>Range Finder</t>
  </si>
  <si>
    <t>went halfway across bankful</t>
  </si>
  <si>
    <t xml:space="preserve">skipped over discharge area and started going downstream of discharge </t>
  </si>
  <si>
    <t>near shale cliff eroding into bank also alluvial artificial streambed</t>
  </si>
  <si>
    <t xml:space="preserve">samples collected on 073017 but forgot gravelometer, went back to collect 2 days later. </t>
  </si>
  <si>
    <t>4.0, 7.0, 10.0</t>
  </si>
  <si>
    <t>1-SS02BU</t>
  </si>
  <si>
    <t>71-SS05LU</t>
  </si>
  <si>
    <t>62-SS06MU</t>
  </si>
  <si>
    <t>taken at the sample collection point but about 50m upstream from the discharge site</t>
  </si>
  <si>
    <t>taken at section 1 of the discharge site</t>
  </si>
  <si>
    <t>Bankful is 1 bar to another. Slight side pool</t>
  </si>
  <si>
    <t>taken slightly upstream because of rocks</t>
  </si>
  <si>
    <t>cups partially out of water</t>
  </si>
  <si>
    <t>too shallow to use a meter; stick method</t>
  </si>
  <si>
    <t>low flow, very shallow, meandering, lots of rocks</t>
  </si>
  <si>
    <t>narrow with lots of sedges, vegetation material bottom</t>
  </si>
  <si>
    <t>floodplain</t>
  </si>
  <si>
    <t>240 FROM TOP</t>
  </si>
  <si>
    <t>220 FROM TOP</t>
  </si>
  <si>
    <t>M</t>
  </si>
  <si>
    <t>N</t>
  </si>
  <si>
    <t>doesn't look like there's flow in this section (possibly due to positive slope)</t>
  </si>
  <si>
    <t>no rocks/pebbles, moss layer over bedrock</t>
  </si>
  <si>
    <t>no rocks/pebbles, moss layer over bedrock. &lt;2 silt material around</t>
  </si>
  <si>
    <t>12-SS01MU</t>
  </si>
  <si>
    <t>40-SS02BU-alt 1</t>
  </si>
  <si>
    <t xml:space="preserve">taken from a 1L bottle filled with stream water. </t>
  </si>
  <si>
    <t>very foggy</t>
  </si>
  <si>
    <t xml:space="preserve">very low and shallow flow, winding channel, lots of sticks/veg, bit of a pool near the end of discharge channel. Bankful is grass ends, covers floodplain and possible 2nd channel. Very silty, lots of sedges. </t>
  </si>
  <si>
    <t>40-SS02BU-alt1</t>
  </si>
  <si>
    <t>meter seemed stiff</t>
  </si>
  <si>
    <t>all flow in this section 2</t>
  </si>
  <si>
    <t>silty, few small pebbles, twigs. Orange phytoplankton</t>
  </si>
  <si>
    <t xml:space="preserve">veg mat, skip few meters up </t>
  </si>
  <si>
    <t>skip discharge site</t>
  </si>
  <si>
    <t>SC-7B</t>
  </si>
  <si>
    <t>SC-6B</t>
  </si>
  <si>
    <t>17-87</t>
  </si>
  <si>
    <t>SC-4B</t>
  </si>
  <si>
    <t>17-52</t>
  </si>
  <si>
    <t>17-51</t>
  </si>
  <si>
    <t>SC-9</t>
  </si>
  <si>
    <t>17-19</t>
  </si>
  <si>
    <t>SC-5B</t>
  </si>
  <si>
    <t>17-20</t>
  </si>
  <si>
    <t>SC-8B</t>
  </si>
  <si>
    <t>17-84</t>
  </si>
  <si>
    <t>SC-2B</t>
  </si>
  <si>
    <t>SC-3B</t>
  </si>
  <si>
    <t>17-141</t>
  </si>
  <si>
    <t>DC-4</t>
  </si>
  <si>
    <t>17-140</t>
  </si>
  <si>
    <t>DC-3</t>
  </si>
  <si>
    <t>lost some water off tower</t>
  </si>
  <si>
    <t>17-103</t>
  </si>
  <si>
    <t>17-26</t>
  </si>
  <si>
    <t>57-SS06MI-alt 1</t>
  </si>
  <si>
    <t>17-34</t>
  </si>
  <si>
    <t>17-29</t>
  </si>
  <si>
    <t>17-31</t>
  </si>
  <si>
    <t>17-105</t>
  </si>
  <si>
    <t>17-144</t>
  </si>
  <si>
    <t>17-106</t>
  </si>
  <si>
    <t>17-68</t>
  </si>
  <si>
    <t>17-61</t>
  </si>
  <si>
    <t>17-30</t>
  </si>
  <si>
    <t>45-SS03BU-alt 2</t>
  </si>
  <si>
    <t>17-113</t>
  </si>
  <si>
    <t>Erin thinks 2000mL, but unsure if 1500 mL</t>
  </si>
  <si>
    <t>17-8</t>
  </si>
  <si>
    <t>17-134</t>
  </si>
  <si>
    <t>17-145</t>
  </si>
  <si>
    <t>17-152</t>
  </si>
  <si>
    <t xml:space="preserve">SC </t>
  </si>
  <si>
    <t>17-33</t>
  </si>
  <si>
    <t>17-32</t>
  </si>
  <si>
    <t>17-66</t>
  </si>
  <si>
    <t>17-24</t>
  </si>
  <si>
    <t>17-22</t>
  </si>
  <si>
    <t>17-62</t>
  </si>
  <si>
    <t>150+60</t>
  </si>
  <si>
    <t>17-59</t>
  </si>
  <si>
    <t>150+50</t>
  </si>
  <si>
    <t>17-60</t>
  </si>
  <si>
    <t>date</t>
  </si>
  <si>
    <t>site</t>
  </si>
  <si>
    <t>SC Outlet</t>
  </si>
  <si>
    <t>cal</t>
  </si>
  <si>
    <t>9-alt</t>
  </si>
  <si>
    <t>12-1</t>
  </si>
  <si>
    <t>40-alt1</t>
  </si>
  <si>
    <t>vegnotes</t>
  </si>
  <si>
    <t>rise_m</t>
  </si>
  <si>
    <t>run_m</t>
  </si>
  <si>
    <t>angle_deg</t>
  </si>
  <si>
    <t>dist_m</t>
  </si>
  <si>
    <t>slope_mperm</t>
  </si>
  <si>
    <t>discharge site, erin entered as 34, pretty sure entered wrong and is supposed to be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</si>
</sst>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4" x14ac:knownFonts="1">
    <font>
      <sz val="10"/>
      <color rgb="FF000000"/>
      <name val="Arial"/>
    </font>
    <font>
      <sz val="10"/>
      <name val="Arial"/>
    </font>
    <font>
      <u/>
      <sz val="10"/>
      <name val="Arial"/>
    </font>
    <font>
      <b/>
      <sz val="10"/>
      <name val="Arial"/>
    </font>
    <font>
      <b/>
      <sz val="10"/>
      <color rgb="FF000000"/>
      <name val="Arial"/>
      <family val="2"/>
    </font>
    <font>
      <sz val="10"/>
      <color rgb="FF000000"/>
      <name val="Arial"/>
      <family val="2"/>
    </font>
    <font>
      <sz val="9"/>
      <color indexed="81"/>
      <name val="Tahoma"/>
      <charset val="1"/>
    </font>
    <font>
      <b/>
      <sz val="9"/>
      <color indexed="81"/>
      <name val="Tahoma"/>
      <charset val="1"/>
    </font>
    <font>
      <sz val="10"/>
      <color rgb="FFFF0000"/>
      <name val="Arial"/>
      <family val="2"/>
    </font>
    <font>
      <b/>
      <sz val="10"/>
      <color rgb="FFFF0000"/>
      <name val="Arial"/>
      <family val="2"/>
    </font>
    <font>
      <sz val="10"/>
      <name val="Arial"/>
      <family val="2"/>
    </font>
    <font>
      <sz val="9"/>
      <color indexed="81"/>
      <name val="Tahoma"/>
      <family val="2"/>
    </font>
    <font>
      <b/>
      <sz val="9"/>
      <color indexed="81"/>
      <name val="Tahoma"/>
      <family val="2"/>
    </font>
    <font>
      <i/>
      <sz val="10"/>
      <color rgb="FF00000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20" fontId="0" fillId="0" borderId="0" xfId="0" applyNumberFormat="1"/>
    <xf numFmtId="0" fontId="4" fillId="0" borderId="0" xfId="0" applyFont="1"/>
    <xf numFmtId="0" fontId="5" fillId="0" borderId="0" xfId="0" applyFont="1"/>
    <xf numFmtId="0" fontId="10" fillId="0" borderId="0" xfId="0" applyFont="1"/>
    <xf numFmtId="0" fontId="5" fillId="0" borderId="0" xfId="0" applyFont="1" applyFill="1"/>
    <xf numFmtId="0" fontId="0" fillId="2" borderId="0" xfId="0" applyFill="1"/>
    <xf numFmtId="0" fontId="5" fillId="2" borderId="0" xfId="0" applyFont="1" applyFill="1"/>
    <xf numFmtId="0" fontId="0" fillId="3" borderId="0" xfId="0" applyFill="1"/>
    <xf numFmtId="0" fontId="5" fillId="3" borderId="0" xfId="0" applyFont="1" applyFill="1"/>
    <xf numFmtId="0" fontId="0" fillId="0" borderId="0" xfId="0" applyFill="1"/>
    <xf numFmtId="0" fontId="4"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0" fontId="0" fillId="2" borderId="0" xfId="0" applyFill="1" applyAlignment="1">
      <alignment horizontal="center"/>
    </xf>
    <xf numFmtId="0" fontId="0" fillId="0" borderId="0" xfId="0" applyFill="1" applyAlignment="1">
      <alignment horizontal="center"/>
    </xf>
    <xf numFmtId="0" fontId="5" fillId="0" borderId="0" xfId="0" applyFont="1" applyFill="1" applyAlignment="1">
      <alignment horizontal="center"/>
    </xf>
    <xf numFmtId="0" fontId="0" fillId="3" borderId="0" xfId="0" applyFill="1" applyAlignment="1">
      <alignment horizontal="center"/>
    </xf>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14" fontId="0" fillId="0" borderId="0" xfId="0" applyNumberFormat="1"/>
    <xf numFmtId="49" fontId="0" fillId="0" borderId="0" xfId="0" quotePrefix="1" applyNumberFormat="1"/>
    <xf numFmtId="164" fontId="4" fillId="0" borderId="0" xfId="0" applyNumberFormat="1" applyFont="1" applyAlignment="1">
      <alignment horizontal="center" vertical="center"/>
    </xf>
    <xf numFmtId="164" fontId="0" fillId="0" borderId="0" xfId="0" applyNumberFormat="1" applyAlignment="1">
      <alignment horizontal="center" vertical="center"/>
    </xf>
    <xf numFmtId="164" fontId="5" fillId="0" borderId="0" xfId="0" applyNumberFormat="1" applyFont="1" applyAlignment="1">
      <alignment horizontal="center" vertic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opLeftCell="A7" workbookViewId="0">
      <selection activeCell="A21" sqref="A21"/>
    </sheetView>
  </sheetViews>
  <sheetFormatPr defaultColWidth="14.42578125" defaultRowHeight="15.75" customHeight="1" x14ac:dyDescent="0.2"/>
  <cols>
    <col min="1" max="16384" width="14.42578125" style="1"/>
  </cols>
  <sheetData>
    <row r="1" spans="1:1" ht="15.75" customHeight="1" x14ac:dyDescent="0.2">
      <c r="A1" s="4" t="s">
        <v>13</v>
      </c>
    </row>
    <row r="2" spans="1:1" ht="15.75" customHeight="1" x14ac:dyDescent="0.2">
      <c r="A2" s="2"/>
    </row>
    <row r="3" spans="1:1" ht="15.75" customHeight="1" x14ac:dyDescent="0.2">
      <c r="A3" s="3" t="s">
        <v>12</v>
      </c>
    </row>
    <row r="4" spans="1:1" ht="15.75" customHeight="1" x14ac:dyDescent="0.2">
      <c r="A4" s="2" t="s">
        <v>11</v>
      </c>
    </row>
    <row r="5" spans="1:1" ht="15.75" customHeight="1" x14ac:dyDescent="0.2">
      <c r="A5" s="2" t="s">
        <v>10</v>
      </c>
    </row>
    <row r="6" spans="1:1" ht="15.75" customHeight="1" x14ac:dyDescent="0.2">
      <c r="A6" s="2"/>
    </row>
    <row r="7" spans="1:1" ht="15.75" customHeight="1" x14ac:dyDescent="0.2">
      <c r="A7" s="3" t="s">
        <v>9</v>
      </c>
    </row>
    <row r="8" spans="1:1" ht="15.75" customHeight="1" x14ac:dyDescent="0.2">
      <c r="A8" s="2" t="s">
        <v>8</v>
      </c>
    </row>
    <row r="9" spans="1:1" ht="15.75" customHeight="1" x14ac:dyDescent="0.2">
      <c r="A9" s="2" t="s">
        <v>7</v>
      </c>
    </row>
    <row r="10" spans="1:1" ht="15.75" customHeight="1" x14ac:dyDescent="0.2">
      <c r="A10" s="2" t="s">
        <v>6</v>
      </c>
    </row>
    <row r="11" spans="1:1" ht="15.75" customHeight="1" x14ac:dyDescent="0.2">
      <c r="A11" s="2" t="s">
        <v>5</v>
      </c>
    </row>
    <row r="12" spans="1:1" ht="15.75" customHeight="1" x14ac:dyDescent="0.2">
      <c r="A12" s="2" t="s">
        <v>4</v>
      </c>
    </row>
    <row r="13" spans="1:1" ht="15.75" customHeight="1" x14ac:dyDescent="0.2">
      <c r="A13" s="2"/>
    </row>
    <row r="14" spans="1:1" ht="15.75" customHeight="1" x14ac:dyDescent="0.2">
      <c r="A14" s="2" t="s">
        <v>3</v>
      </c>
    </row>
    <row r="15" spans="1:1" ht="15.75" customHeight="1" x14ac:dyDescent="0.2">
      <c r="A15" s="2"/>
    </row>
    <row r="16" spans="1:1" ht="15.75" customHeight="1" x14ac:dyDescent="0.2">
      <c r="A16" s="2" t="s">
        <v>2</v>
      </c>
    </row>
    <row r="17" spans="1:1" ht="15.75" customHeight="1" x14ac:dyDescent="0.2">
      <c r="A17" s="2" t="s">
        <v>1</v>
      </c>
    </row>
    <row r="18" spans="1:1" ht="15.75" customHeight="1" x14ac:dyDescent="0.2">
      <c r="A18" s="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6"/>
  <sheetViews>
    <sheetView workbookViewId="0">
      <pane ySplit="1" topLeftCell="A329" activePane="bottomLeft" state="frozen"/>
      <selection pane="bottomLeft" activeCell="I347" sqref="I347"/>
    </sheetView>
  </sheetViews>
  <sheetFormatPr defaultColWidth="11.42578125" defaultRowHeight="12.75" x14ac:dyDescent="0.2"/>
  <cols>
    <col min="3" max="5" width="11.42578125" style="16"/>
    <col min="6" max="6" width="0" style="16" hidden="1" customWidth="1"/>
  </cols>
  <sheetData>
    <row r="1" spans="1:8" s="6" customFormat="1" x14ac:dyDescent="0.2">
      <c r="A1" s="6" t="s">
        <v>15</v>
      </c>
      <c r="B1" s="6" t="s">
        <v>32</v>
      </c>
      <c r="C1" s="15" t="s">
        <v>60</v>
      </c>
      <c r="D1" s="15" t="s">
        <v>61</v>
      </c>
      <c r="E1" s="15" t="s">
        <v>62</v>
      </c>
      <c r="F1" s="15" t="s">
        <v>63</v>
      </c>
      <c r="G1" s="6" t="s">
        <v>64</v>
      </c>
      <c r="H1" s="6" t="s">
        <v>24</v>
      </c>
    </row>
    <row r="2" spans="1:8" x14ac:dyDescent="0.2">
      <c r="A2" t="s">
        <v>65</v>
      </c>
      <c r="B2">
        <v>71017</v>
      </c>
      <c r="C2" s="16">
        <v>758</v>
      </c>
      <c r="D2" s="16">
        <v>20</v>
      </c>
      <c r="E2" s="16">
        <v>35.54</v>
      </c>
      <c r="G2" t="s">
        <v>66</v>
      </c>
    </row>
    <row r="3" spans="1:8" x14ac:dyDescent="0.2">
      <c r="A3" t="s">
        <v>65</v>
      </c>
      <c r="B3">
        <v>71017</v>
      </c>
      <c r="D3" s="16">
        <v>11</v>
      </c>
      <c r="E3" s="16" t="s">
        <v>26</v>
      </c>
      <c r="G3" t="s">
        <v>67</v>
      </c>
    </row>
    <row r="4" spans="1:8" x14ac:dyDescent="0.2">
      <c r="A4" t="s">
        <v>65</v>
      </c>
      <c r="B4">
        <v>71017</v>
      </c>
      <c r="D4" s="16">
        <f>22+18</f>
        <v>40</v>
      </c>
      <c r="E4" s="16" t="s">
        <v>26</v>
      </c>
      <c r="G4" t="s">
        <v>68</v>
      </c>
    </row>
    <row r="5" spans="1:8" x14ac:dyDescent="0.2">
      <c r="A5" t="s">
        <v>65</v>
      </c>
      <c r="B5">
        <v>71017</v>
      </c>
      <c r="D5" s="16">
        <v>15</v>
      </c>
      <c r="E5" s="16">
        <v>41.04</v>
      </c>
      <c r="G5" t="s">
        <v>69</v>
      </c>
    </row>
    <row r="6" spans="1:8" x14ac:dyDescent="0.2">
      <c r="A6" t="s">
        <v>65</v>
      </c>
      <c r="B6">
        <v>71017</v>
      </c>
      <c r="D6" s="16">
        <v>35</v>
      </c>
      <c r="E6" s="16" t="s">
        <v>26</v>
      </c>
      <c r="G6" t="s">
        <v>70</v>
      </c>
    </row>
    <row r="7" spans="1:8" x14ac:dyDescent="0.2">
      <c r="A7" t="s">
        <v>65</v>
      </c>
      <c r="B7">
        <v>71017</v>
      </c>
      <c r="D7" s="16">
        <v>35</v>
      </c>
      <c r="E7" s="16" t="s">
        <v>26</v>
      </c>
      <c r="G7" t="s">
        <v>72</v>
      </c>
    </row>
    <row r="8" spans="1:8" x14ac:dyDescent="0.2">
      <c r="A8" t="s">
        <v>71</v>
      </c>
      <c r="B8">
        <v>71017</v>
      </c>
      <c r="D8" s="16">
        <v>19</v>
      </c>
      <c r="E8" s="16" t="s">
        <v>26</v>
      </c>
      <c r="G8" t="s">
        <v>66</v>
      </c>
    </row>
    <row r="9" spans="1:8" x14ac:dyDescent="0.2">
      <c r="A9" t="s">
        <v>71</v>
      </c>
      <c r="B9">
        <v>71017</v>
      </c>
      <c r="D9" s="16">
        <v>20</v>
      </c>
      <c r="E9" s="16" t="s">
        <v>26</v>
      </c>
      <c r="G9" t="s">
        <v>67</v>
      </c>
    </row>
    <row r="10" spans="1:8" x14ac:dyDescent="0.2">
      <c r="A10" t="s">
        <v>71</v>
      </c>
      <c r="B10">
        <v>71017</v>
      </c>
      <c r="D10" s="16">
        <v>21</v>
      </c>
      <c r="E10" s="16">
        <v>41.94</v>
      </c>
      <c r="G10" t="s">
        <v>69</v>
      </c>
    </row>
    <row r="11" spans="1:8" x14ac:dyDescent="0.2">
      <c r="A11" t="s">
        <v>71</v>
      </c>
      <c r="B11">
        <v>71017</v>
      </c>
      <c r="C11" s="16">
        <v>812</v>
      </c>
      <c r="D11" s="16">
        <v>29</v>
      </c>
      <c r="E11" s="16">
        <v>140.03</v>
      </c>
      <c r="G11" t="s">
        <v>72</v>
      </c>
    </row>
    <row r="12" spans="1:8" x14ac:dyDescent="0.2">
      <c r="A12" t="s">
        <v>71</v>
      </c>
      <c r="B12">
        <v>71017</v>
      </c>
      <c r="D12" s="16">
        <v>31</v>
      </c>
      <c r="E12" s="16" t="s">
        <v>26</v>
      </c>
      <c r="G12" t="s">
        <v>68</v>
      </c>
    </row>
    <row r="13" spans="1:8" x14ac:dyDescent="0.2">
      <c r="A13" t="s">
        <v>71</v>
      </c>
      <c r="B13">
        <v>71017</v>
      </c>
      <c r="D13" s="16">
        <v>34</v>
      </c>
      <c r="E13" s="16" t="s">
        <v>26</v>
      </c>
      <c r="G13" t="s">
        <v>70</v>
      </c>
    </row>
    <row r="14" spans="1:8" x14ac:dyDescent="0.2">
      <c r="A14" s="7" t="s">
        <v>84</v>
      </c>
      <c r="B14">
        <v>71217</v>
      </c>
      <c r="D14" s="16">
        <v>2</v>
      </c>
      <c r="G14" t="s">
        <v>70</v>
      </c>
    </row>
    <row r="15" spans="1:8" x14ac:dyDescent="0.2">
      <c r="A15" s="7" t="s">
        <v>84</v>
      </c>
      <c r="B15">
        <v>71217</v>
      </c>
      <c r="D15" s="16">
        <v>1</v>
      </c>
      <c r="E15" s="16">
        <v>35.81</v>
      </c>
      <c r="G15" s="7" t="s">
        <v>66</v>
      </c>
    </row>
    <row r="16" spans="1:8" x14ac:dyDescent="0.2">
      <c r="A16" s="7" t="s">
        <v>84</v>
      </c>
      <c r="B16">
        <v>71217</v>
      </c>
      <c r="D16" s="16">
        <v>1</v>
      </c>
      <c r="E16" s="16">
        <v>35.18</v>
      </c>
      <c r="G16" s="7" t="s">
        <v>67</v>
      </c>
    </row>
    <row r="17" spans="1:8" x14ac:dyDescent="0.2">
      <c r="A17" s="7" t="s">
        <v>84</v>
      </c>
      <c r="B17">
        <v>71217</v>
      </c>
      <c r="D17" s="16">
        <v>2</v>
      </c>
      <c r="G17" s="7" t="s">
        <v>72</v>
      </c>
    </row>
    <row r="18" spans="1:8" x14ac:dyDescent="0.2">
      <c r="A18" s="7" t="s">
        <v>84</v>
      </c>
      <c r="B18">
        <v>71217</v>
      </c>
      <c r="D18" s="16">
        <v>2</v>
      </c>
      <c r="G18" s="7" t="s">
        <v>68</v>
      </c>
    </row>
    <row r="19" spans="1:8" x14ac:dyDescent="0.2">
      <c r="A19" s="7" t="s">
        <v>84</v>
      </c>
      <c r="B19">
        <v>71217</v>
      </c>
      <c r="D19" s="16">
        <v>1</v>
      </c>
      <c r="E19" s="16">
        <v>40.85</v>
      </c>
      <c r="G19" t="s">
        <v>69</v>
      </c>
    </row>
    <row r="20" spans="1:8" x14ac:dyDescent="0.2">
      <c r="A20" s="7" t="s">
        <v>82</v>
      </c>
      <c r="B20">
        <v>71217</v>
      </c>
      <c r="D20" s="17" t="s">
        <v>26</v>
      </c>
      <c r="G20" s="7" t="s">
        <v>66</v>
      </c>
      <c r="H20" s="7" t="s">
        <v>134</v>
      </c>
    </row>
    <row r="21" spans="1:8" x14ac:dyDescent="0.2">
      <c r="A21" s="7" t="s">
        <v>82</v>
      </c>
      <c r="B21">
        <v>71217</v>
      </c>
      <c r="D21" s="16">
        <f>1000+410+490</f>
        <v>1900</v>
      </c>
      <c r="H21" s="7" t="s">
        <v>135</v>
      </c>
    </row>
    <row r="22" spans="1:8" x14ac:dyDescent="0.2">
      <c r="A22" s="7" t="s">
        <v>82</v>
      </c>
      <c r="B22">
        <v>71217</v>
      </c>
      <c r="D22" s="16">
        <f>500+500+500</f>
        <v>1500</v>
      </c>
      <c r="G22" t="s">
        <v>69</v>
      </c>
    </row>
    <row r="23" spans="1:8" x14ac:dyDescent="0.2">
      <c r="A23" s="7" t="s">
        <v>82</v>
      </c>
      <c r="B23">
        <v>71217</v>
      </c>
      <c r="D23" s="16">
        <f>500+500+500+500+500+500+500+500</f>
        <v>4000</v>
      </c>
      <c r="G23" s="7" t="s">
        <v>70</v>
      </c>
    </row>
    <row r="24" spans="1:8" x14ac:dyDescent="0.2">
      <c r="A24" s="7" t="s">
        <v>82</v>
      </c>
      <c r="B24">
        <v>71217</v>
      </c>
      <c r="D24" s="16">
        <f>500+500+500+500+130</f>
        <v>2130</v>
      </c>
      <c r="G24" s="7" t="s">
        <v>68</v>
      </c>
      <c r="H24" s="7" t="s">
        <v>136</v>
      </c>
    </row>
    <row r="25" spans="1:8" x14ac:dyDescent="0.2">
      <c r="A25" s="7" t="s">
        <v>83</v>
      </c>
      <c r="B25">
        <v>71317</v>
      </c>
      <c r="D25" s="16">
        <f>500+100</f>
        <v>600</v>
      </c>
      <c r="G25" s="7" t="s">
        <v>70</v>
      </c>
    </row>
    <row r="26" spans="1:8" x14ac:dyDescent="0.2">
      <c r="A26" s="7" t="s">
        <v>83</v>
      </c>
      <c r="B26">
        <v>71317</v>
      </c>
      <c r="D26" s="16">
        <v>265</v>
      </c>
      <c r="G26" s="7" t="s">
        <v>66</v>
      </c>
    </row>
    <row r="27" spans="1:8" x14ac:dyDescent="0.2">
      <c r="A27" s="7" t="s">
        <v>83</v>
      </c>
      <c r="B27">
        <v>71317</v>
      </c>
      <c r="D27" s="16">
        <v>300</v>
      </c>
      <c r="G27" t="s">
        <v>67</v>
      </c>
    </row>
    <row r="28" spans="1:8" x14ac:dyDescent="0.2">
      <c r="A28" s="7" t="s">
        <v>83</v>
      </c>
      <c r="B28">
        <v>71317</v>
      </c>
      <c r="D28" s="16">
        <v>400</v>
      </c>
      <c r="G28" s="7" t="s">
        <v>72</v>
      </c>
    </row>
    <row r="29" spans="1:8" x14ac:dyDescent="0.2">
      <c r="A29" s="7" t="s">
        <v>83</v>
      </c>
      <c r="B29">
        <v>71317</v>
      </c>
      <c r="D29" s="16">
        <f>300+115</f>
        <v>415</v>
      </c>
      <c r="G29" s="7" t="s">
        <v>68</v>
      </c>
    </row>
    <row r="30" spans="1:8" x14ac:dyDescent="0.2">
      <c r="A30" s="7" t="s">
        <v>83</v>
      </c>
      <c r="B30">
        <v>71317</v>
      </c>
      <c r="D30" s="16">
        <v>140</v>
      </c>
      <c r="G30" t="s">
        <v>69</v>
      </c>
    </row>
    <row r="31" spans="1:8" x14ac:dyDescent="0.2">
      <c r="A31" s="7" t="s">
        <v>88</v>
      </c>
      <c r="B31">
        <v>71417</v>
      </c>
      <c r="D31" s="16">
        <f>500+230+290+95</f>
        <v>1115</v>
      </c>
      <c r="G31" s="7" t="s">
        <v>137</v>
      </c>
    </row>
    <row r="32" spans="1:8" x14ac:dyDescent="0.2">
      <c r="A32" s="7" t="s">
        <v>88</v>
      </c>
      <c r="B32">
        <v>71417</v>
      </c>
      <c r="D32" s="16">
        <f>500+210+105</f>
        <v>815</v>
      </c>
      <c r="G32" t="s">
        <v>67</v>
      </c>
    </row>
    <row r="33" spans="1:8" x14ac:dyDescent="0.2">
      <c r="A33" s="7" t="s">
        <v>88</v>
      </c>
      <c r="B33">
        <v>71417</v>
      </c>
      <c r="D33" s="16">
        <f>500+500+500+500+260+215</f>
        <v>2475</v>
      </c>
      <c r="G33" s="7" t="s">
        <v>68</v>
      </c>
    </row>
    <row r="34" spans="1:8" x14ac:dyDescent="0.2">
      <c r="A34" s="7" t="s">
        <v>88</v>
      </c>
      <c r="B34">
        <v>71417</v>
      </c>
      <c r="D34" s="16">
        <f>500+500+500+500+500</f>
        <v>2500</v>
      </c>
      <c r="G34" s="7" t="s">
        <v>70</v>
      </c>
    </row>
    <row r="35" spans="1:8" x14ac:dyDescent="0.2">
      <c r="A35" s="7" t="s">
        <v>88</v>
      </c>
      <c r="B35">
        <v>71417</v>
      </c>
      <c r="D35" s="16">
        <f>500+500+500+500</f>
        <v>2000</v>
      </c>
      <c r="G35" t="s">
        <v>69</v>
      </c>
    </row>
    <row r="36" spans="1:8" x14ac:dyDescent="0.2">
      <c r="A36" s="7" t="s">
        <v>88</v>
      </c>
      <c r="B36">
        <v>71417</v>
      </c>
      <c r="D36" s="16">
        <f>500+500+500+65</f>
        <v>1565</v>
      </c>
      <c r="G36" s="7" t="s">
        <v>72</v>
      </c>
    </row>
    <row r="37" spans="1:8" x14ac:dyDescent="0.2">
      <c r="A37" s="7" t="s">
        <v>86</v>
      </c>
      <c r="B37">
        <v>71417</v>
      </c>
      <c r="D37" s="16">
        <f>500+500+500+500+500+500</f>
        <v>3000</v>
      </c>
      <c r="G37" s="7" t="s">
        <v>68</v>
      </c>
    </row>
    <row r="38" spans="1:8" x14ac:dyDescent="0.2">
      <c r="A38" s="7" t="s">
        <v>86</v>
      </c>
      <c r="B38">
        <v>71417</v>
      </c>
      <c r="D38" s="16">
        <f>500+500</f>
        <v>1000</v>
      </c>
      <c r="G38" s="7" t="s">
        <v>137</v>
      </c>
    </row>
    <row r="39" spans="1:8" x14ac:dyDescent="0.2">
      <c r="A39" s="7" t="s">
        <v>86</v>
      </c>
      <c r="B39">
        <v>71417</v>
      </c>
      <c r="C39" s="16">
        <v>756</v>
      </c>
      <c r="D39" s="16">
        <f>500+500</f>
        <v>1000</v>
      </c>
      <c r="E39" s="16">
        <v>35.6</v>
      </c>
      <c r="G39" s="7" t="s">
        <v>67</v>
      </c>
    </row>
    <row r="40" spans="1:8" x14ac:dyDescent="0.2">
      <c r="A40" s="7" t="s">
        <v>86</v>
      </c>
      <c r="B40">
        <v>71417</v>
      </c>
      <c r="D40" s="16">
        <f>500+500+310+240+300+375+285</f>
        <v>2510</v>
      </c>
      <c r="G40" t="s">
        <v>69</v>
      </c>
      <c r="H40" s="7" t="s">
        <v>138</v>
      </c>
    </row>
    <row r="41" spans="1:8" x14ac:dyDescent="0.2">
      <c r="A41" s="7" t="s">
        <v>86</v>
      </c>
      <c r="B41">
        <v>71417</v>
      </c>
      <c r="C41" s="16">
        <v>321</v>
      </c>
      <c r="D41" s="16">
        <f>500+500+500+500+500+500+300</f>
        <v>3300</v>
      </c>
      <c r="G41" s="7" t="s">
        <v>70</v>
      </c>
    </row>
    <row r="42" spans="1:8" x14ac:dyDescent="0.2">
      <c r="A42" s="7" t="s">
        <v>86</v>
      </c>
      <c r="B42">
        <v>71417</v>
      </c>
      <c r="C42" s="16">
        <v>753</v>
      </c>
      <c r="D42" s="16">
        <f>500+500+195</f>
        <v>1195</v>
      </c>
      <c r="G42" s="7" t="s">
        <v>66</v>
      </c>
      <c r="H42" s="7" t="s">
        <v>139</v>
      </c>
    </row>
    <row r="43" spans="1:8" x14ac:dyDescent="0.2">
      <c r="A43" s="7" t="s">
        <v>86</v>
      </c>
      <c r="B43">
        <v>71417</v>
      </c>
      <c r="C43" s="16">
        <v>165</v>
      </c>
      <c r="D43" s="16">
        <f>500+305</f>
        <v>805</v>
      </c>
      <c r="E43" s="16">
        <v>129.87</v>
      </c>
      <c r="G43" s="7" t="s">
        <v>72</v>
      </c>
    </row>
    <row r="44" spans="1:8" x14ac:dyDescent="0.2">
      <c r="A44" s="7" t="s">
        <v>93</v>
      </c>
      <c r="B44">
        <v>71517</v>
      </c>
      <c r="C44" s="16">
        <v>730</v>
      </c>
      <c r="D44" s="16">
        <f>500+500+500+500+500+500+500</f>
        <v>3500</v>
      </c>
      <c r="E44" s="16">
        <v>35.5</v>
      </c>
      <c r="F44" s="17"/>
      <c r="G44" s="7" t="s">
        <v>67</v>
      </c>
    </row>
    <row r="45" spans="1:8" x14ac:dyDescent="0.2">
      <c r="A45" s="7" t="s">
        <v>93</v>
      </c>
      <c r="B45">
        <v>71517</v>
      </c>
      <c r="D45" s="16">
        <f>500+500+500+500+500+500+500+500+500+500+500+425+500+500</f>
        <v>6925</v>
      </c>
      <c r="G45" s="7" t="s">
        <v>68</v>
      </c>
    </row>
    <row r="46" spans="1:8" x14ac:dyDescent="0.2">
      <c r="A46" s="7" t="s">
        <v>93</v>
      </c>
      <c r="B46">
        <v>71517</v>
      </c>
      <c r="D46" s="16">
        <f>500+500+500+500+135</f>
        <v>2135</v>
      </c>
      <c r="E46" s="16">
        <v>36.4</v>
      </c>
      <c r="G46" s="7" t="s">
        <v>137</v>
      </c>
    </row>
    <row r="47" spans="1:8" x14ac:dyDescent="0.2">
      <c r="A47" s="7" t="s">
        <v>91</v>
      </c>
      <c r="B47">
        <v>71517</v>
      </c>
      <c r="D47" s="16">
        <f>5+5</f>
        <v>10</v>
      </c>
      <c r="G47" s="7" t="s">
        <v>68</v>
      </c>
    </row>
    <row r="48" spans="1:8" x14ac:dyDescent="0.2">
      <c r="A48" s="7" t="s">
        <v>91</v>
      </c>
      <c r="B48">
        <v>71517</v>
      </c>
      <c r="D48" s="16">
        <f>5</f>
        <v>5</v>
      </c>
      <c r="G48" s="7" t="s">
        <v>67</v>
      </c>
    </row>
    <row r="49" spans="1:8" x14ac:dyDescent="0.2">
      <c r="A49" s="7" t="s">
        <v>91</v>
      </c>
      <c r="B49">
        <v>71517</v>
      </c>
      <c r="D49" s="16">
        <f>10</f>
        <v>10</v>
      </c>
      <c r="G49" s="7" t="s">
        <v>70</v>
      </c>
    </row>
    <row r="50" spans="1:8" x14ac:dyDescent="0.2">
      <c r="A50" s="7" t="s">
        <v>91</v>
      </c>
      <c r="B50">
        <v>71517</v>
      </c>
      <c r="D50" s="16">
        <v>5</v>
      </c>
      <c r="G50" s="7" t="s">
        <v>66</v>
      </c>
    </row>
    <row r="51" spans="1:8" x14ac:dyDescent="0.2">
      <c r="A51" s="7" t="s">
        <v>91</v>
      </c>
      <c r="B51">
        <v>71517</v>
      </c>
      <c r="D51" s="16">
        <v>10</v>
      </c>
      <c r="G51" s="7" t="s">
        <v>72</v>
      </c>
    </row>
    <row r="52" spans="1:8" x14ac:dyDescent="0.2">
      <c r="A52" s="7" t="s">
        <v>91</v>
      </c>
      <c r="B52">
        <v>71517</v>
      </c>
      <c r="D52" s="16">
        <v>5</v>
      </c>
      <c r="G52" s="7" t="s">
        <v>137</v>
      </c>
    </row>
    <row r="53" spans="1:8" x14ac:dyDescent="0.2">
      <c r="A53" s="7" t="s">
        <v>91</v>
      </c>
      <c r="B53">
        <v>71517</v>
      </c>
      <c r="D53" s="16">
        <v>10</v>
      </c>
      <c r="E53" s="16">
        <v>139.43</v>
      </c>
      <c r="G53" s="7" t="s">
        <v>140</v>
      </c>
      <c r="H53" s="7" t="s">
        <v>141</v>
      </c>
    </row>
    <row r="54" spans="1:8" x14ac:dyDescent="0.2">
      <c r="A54" s="7" t="s">
        <v>91</v>
      </c>
      <c r="B54">
        <v>71517</v>
      </c>
      <c r="D54" s="16">
        <v>5</v>
      </c>
      <c r="E54" s="16">
        <v>41.04</v>
      </c>
      <c r="G54" t="s">
        <v>69</v>
      </c>
    </row>
    <row r="55" spans="1:8" x14ac:dyDescent="0.2">
      <c r="A55" s="7" t="s">
        <v>91</v>
      </c>
      <c r="B55">
        <v>71517</v>
      </c>
      <c r="D55" s="16">
        <v>10</v>
      </c>
      <c r="G55" s="7" t="s">
        <v>142</v>
      </c>
      <c r="H55" s="7" t="s">
        <v>141</v>
      </c>
    </row>
    <row r="56" spans="1:8" x14ac:dyDescent="0.2">
      <c r="A56" s="7" t="s">
        <v>91</v>
      </c>
      <c r="B56">
        <v>71517</v>
      </c>
      <c r="C56" s="17" t="s">
        <v>143</v>
      </c>
      <c r="D56" s="16">
        <v>5</v>
      </c>
      <c r="E56" s="16">
        <v>38.74</v>
      </c>
      <c r="G56" s="7" t="s">
        <v>146</v>
      </c>
      <c r="H56" s="7" t="s">
        <v>141</v>
      </c>
    </row>
    <row r="57" spans="1:8" x14ac:dyDescent="0.2">
      <c r="A57" s="7" t="s">
        <v>91</v>
      </c>
      <c r="B57">
        <v>71517</v>
      </c>
      <c r="C57" s="17" t="s">
        <v>144</v>
      </c>
      <c r="D57" s="16">
        <v>5</v>
      </c>
      <c r="E57" s="16">
        <v>38.53</v>
      </c>
      <c r="G57" s="7" t="s">
        <v>147</v>
      </c>
      <c r="H57" s="7" t="s">
        <v>141</v>
      </c>
    </row>
    <row r="58" spans="1:8" x14ac:dyDescent="0.2">
      <c r="A58" s="7" t="s">
        <v>91</v>
      </c>
      <c r="B58">
        <v>71517</v>
      </c>
      <c r="C58" s="17" t="s">
        <v>145</v>
      </c>
      <c r="D58" s="16">
        <v>5</v>
      </c>
      <c r="E58" s="16">
        <v>37.49</v>
      </c>
      <c r="G58" s="7" t="s">
        <v>66</v>
      </c>
    </row>
    <row r="59" spans="1:8" x14ac:dyDescent="0.2">
      <c r="A59" s="7" t="s">
        <v>91</v>
      </c>
      <c r="B59">
        <v>71517</v>
      </c>
      <c r="D59" s="16">
        <v>5</v>
      </c>
      <c r="E59" s="16">
        <v>41.72</v>
      </c>
      <c r="G59" s="7" t="s">
        <v>69</v>
      </c>
    </row>
    <row r="60" spans="1:8" x14ac:dyDescent="0.2">
      <c r="A60" s="7" t="s">
        <v>91</v>
      </c>
      <c r="B60">
        <v>71517</v>
      </c>
      <c r="D60" s="16">
        <v>10</v>
      </c>
      <c r="G60" s="7" t="s">
        <v>68</v>
      </c>
    </row>
    <row r="61" spans="1:8" x14ac:dyDescent="0.2">
      <c r="A61" s="7" t="s">
        <v>148</v>
      </c>
      <c r="B61">
        <v>71717</v>
      </c>
      <c r="D61" s="16">
        <f>250+190</f>
        <v>440</v>
      </c>
      <c r="G61" s="7" t="s">
        <v>67</v>
      </c>
    </row>
    <row r="62" spans="1:8" x14ac:dyDescent="0.2">
      <c r="A62" s="7" t="s">
        <v>148</v>
      </c>
      <c r="B62">
        <v>71717</v>
      </c>
      <c r="D62" s="16">
        <v>320</v>
      </c>
      <c r="G62" s="7" t="s">
        <v>66</v>
      </c>
    </row>
    <row r="63" spans="1:8" x14ac:dyDescent="0.2">
      <c r="A63" s="7" t="s">
        <v>148</v>
      </c>
      <c r="B63">
        <v>71717</v>
      </c>
      <c r="D63" s="16">
        <f>480+255+55</f>
        <v>790</v>
      </c>
      <c r="G63" s="7" t="s">
        <v>68</v>
      </c>
    </row>
    <row r="64" spans="1:8" x14ac:dyDescent="0.2">
      <c r="A64" s="7" t="s">
        <v>148</v>
      </c>
      <c r="B64">
        <v>71717</v>
      </c>
      <c r="D64" s="16">
        <f>500+240</f>
        <v>740</v>
      </c>
      <c r="G64" s="7" t="s">
        <v>70</v>
      </c>
    </row>
    <row r="65" spans="1:8" x14ac:dyDescent="0.2">
      <c r="A65" s="7" t="s">
        <v>148</v>
      </c>
      <c r="B65">
        <v>71717</v>
      </c>
      <c r="D65" s="16">
        <f>410+110+90</f>
        <v>610</v>
      </c>
      <c r="E65" s="16">
        <v>41.99</v>
      </c>
      <c r="G65" s="7" t="s">
        <v>69</v>
      </c>
    </row>
    <row r="66" spans="1:8" x14ac:dyDescent="0.2">
      <c r="A66" s="7" t="s">
        <v>148</v>
      </c>
      <c r="B66">
        <v>71717</v>
      </c>
      <c r="D66" s="16">
        <f>340+95</f>
        <v>435</v>
      </c>
      <c r="G66" s="7" t="s">
        <v>137</v>
      </c>
    </row>
    <row r="67" spans="1:8" x14ac:dyDescent="0.2">
      <c r="A67" s="7" t="s">
        <v>148</v>
      </c>
      <c r="B67">
        <v>71717</v>
      </c>
      <c r="D67" s="16">
        <f>500+420</f>
        <v>920</v>
      </c>
      <c r="E67" s="16">
        <v>131.93</v>
      </c>
      <c r="G67" s="7" t="s">
        <v>72</v>
      </c>
    </row>
    <row r="68" spans="1:8" x14ac:dyDescent="0.2">
      <c r="A68" s="7" t="s">
        <v>119</v>
      </c>
      <c r="B68">
        <v>71717</v>
      </c>
      <c r="D68" s="16">
        <v>34</v>
      </c>
      <c r="G68" s="7" t="s">
        <v>68</v>
      </c>
    </row>
    <row r="69" spans="1:8" x14ac:dyDescent="0.2">
      <c r="A69" s="7" t="s">
        <v>119</v>
      </c>
      <c r="B69">
        <v>71717</v>
      </c>
      <c r="D69" s="16">
        <v>16</v>
      </c>
      <c r="G69" s="7" t="s">
        <v>137</v>
      </c>
    </row>
    <row r="70" spans="1:8" x14ac:dyDescent="0.2">
      <c r="A70" s="7" t="s">
        <v>119</v>
      </c>
      <c r="B70">
        <v>71717</v>
      </c>
      <c r="D70" s="16">
        <v>18</v>
      </c>
      <c r="G70" s="7" t="s">
        <v>67</v>
      </c>
    </row>
    <row r="71" spans="1:8" x14ac:dyDescent="0.2">
      <c r="A71" s="7" t="s">
        <v>119</v>
      </c>
      <c r="B71">
        <v>71717</v>
      </c>
      <c r="D71" s="16">
        <v>39</v>
      </c>
      <c r="E71" s="16">
        <v>138.97</v>
      </c>
      <c r="G71" s="7" t="s">
        <v>72</v>
      </c>
    </row>
    <row r="72" spans="1:8" x14ac:dyDescent="0.2">
      <c r="A72" s="7" t="s">
        <v>119</v>
      </c>
      <c r="B72">
        <v>71717</v>
      </c>
      <c r="D72" s="16">
        <v>31</v>
      </c>
      <c r="G72" s="7" t="s">
        <v>69</v>
      </c>
      <c r="H72" s="7" t="s">
        <v>149</v>
      </c>
    </row>
    <row r="73" spans="1:8" x14ac:dyDescent="0.2">
      <c r="A73" s="7" t="s">
        <v>119</v>
      </c>
      <c r="B73">
        <v>71717</v>
      </c>
      <c r="C73" s="16">
        <v>781</v>
      </c>
      <c r="D73" s="16">
        <v>18</v>
      </c>
      <c r="E73" s="16">
        <v>35.36</v>
      </c>
      <c r="G73" s="7" t="s">
        <v>66</v>
      </c>
    </row>
    <row r="74" spans="1:8" x14ac:dyDescent="0.2">
      <c r="A74" s="7" t="s">
        <v>119</v>
      </c>
      <c r="B74">
        <v>71717</v>
      </c>
      <c r="C74" s="16">
        <v>77</v>
      </c>
      <c r="D74" s="16">
        <v>37</v>
      </c>
      <c r="G74" s="7" t="s">
        <v>70</v>
      </c>
    </row>
    <row r="75" spans="1:8" x14ac:dyDescent="0.2">
      <c r="A75" s="7" t="s">
        <v>119</v>
      </c>
      <c r="B75">
        <v>71717</v>
      </c>
      <c r="D75" s="16">
        <v>34</v>
      </c>
      <c r="G75" s="7" t="s">
        <v>69</v>
      </c>
      <c r="H75" s="7" t="s">
        <v>150</v>
      </c>
    </row>
    <row r="76" spans="1:8" x14ac:dyDescent="0.2">
      <c r="A76" t="s">
        <v>120</v>
      </c>
      <c r="B76">
        <v>71717</v>
      </c>
      <c r="D76" s="16">
        <v>1</v>
      </c>
      <c r="G76" s="7" t="s">
        <v>68</v>
      </c>
      <c r="H76" s="7" t="s">
        <v>151</v>
      </c>
    </row>
    <row r="77" spans="1:8" x14ac:dyDescent="0.2">
      <c r="A77" t="s">
        <v>120</v>
      </c>
      <c r="B77">
        <v>71717</v>
      </c>
      <c r="D77" s="16">
        <v>0.4</v>
      </c>
      <c r="G77" s="7" t="s">
        <v>137</v>
      </c>
    </row>
    <row r="78" spans="1:8" x14ac:dyDescent="0.2">
      <c r="A78" t="s">
        <v>120</v>
      </c>
      <c r="B78">
        <v>71717</v>
      </c>
      <c r="D78" s="16">
        <v>0.4</v>
      </c>
      <c r="G78" s="7" t="s">
        <v>67</v>
      </c>
    </row>
    <row r="79" spans="1:8" x14ac:dyDescent="0.2">
      <c r="A79" t="s">
        <v>120</v>
      </c>
      <c r="B79">
        <v>71717</v>
      </c>
      <c r="C79" s="16">
        <v>811</v>
      </c>
      <c r="D79" s="16">
        <v>0.8</v>
      </c>
      <c r="E79" s="16">
        <v>141.16999999999999</v>
      </c>
      <c r="F79" s="16">
        <v>141.16999999999999</v>
      </c>
      <c r="G79" s="7" t="s">
        <v>72</v>
      </c>
    </row>
    <row r="80" spans="1:8" x14ac:dyDescent="0.2">
      <c r="A80" t="s">
        <v>120</v>
      </c>
      <c r="B80">
        <v>71717</v>
      </c>
      <c r="D80" s="16">
        <v>0.4</v>
      </c>
      <c r="G80" s="7" t="s">
        <v>69</v>
      </c>
      <c r="H80" s="7" t="s">
        <v>152</v>
      </c>
    </row>
    <row r="81" spans="1:8" x14ac:dyDescent="0.2">
      <c r="A81" t="s">
        <v>120</v>
      </c>
      <c r="B81">
        <v>71717</v>
      </c>
      <c r="C81" s="16">
        <v>747</v>
      </c>
      <c r="D81" s="16">
        <v>0.4</v>
      </c>
      <c r="E81" s="16">
        <v>35.19</v>
      </c>
      <c r="F81" s="17"/>
      <c r="G81" s="7" t="s">
        <v>66</v>
      </c>
    </row>
    <row r="82" spans="1:8" x14ac:dyDescent="0.2">
      <c r="A82" t="s">
        <v>120</v>
      </c>
      <c r="B82">
        <v>71717</v>
      </c>
      <c r="C82" s="16">
        <v>60</v>
      </c>
      <c r="D82" s="16">
        <v>0.8</v>
      </c>
      <c r="G82" s="7" t="s">
        <v>68</v>
      </c>
    </row>
    <row r="83" spans="1:8" x14ac:dyDescent="0.2">
      <c r="A83" t="s">
        <v>120</v>
      </c>
      <c r="B83">
        <v>71717</v>
      </c>
      <c r="D83" s="16">
        <v>0.4</v>
      </c>
      <c r="E83" s="16">
        <v>42</v>
      </c>
      <c r="G83" s="7" t="s">
        <v>69</v>
      </c>
      <c r="H83" s="7" t="s">
        <v>153</v>
      </c>
    </row>
    <row r="84" spans="1:8" x14ac:dyDescent="0.2">
      <c r="A84" t="s">
        <v>245</v>
      </c>
      <c r="B84">
        <v>72017</v>
      </c>
      <c r="D84" s="16">
        <v>100</v>
      </c>
      <c r="G84" s="7" t="s">
        <v>68</v>
      </c>
    </row>
    <row r="85" spans="1:8" x14ac:dyDescent="0.2">
      <c r="A85" t="s">
        <v>245</v>
      </c>
      <c r="B85">
        <v>72017</v>
      </c>
      <c r="C85" s="16">
        <v>726</v>
      </c>
      <c r="D85" s="16">
        <v>100</v>
      </c>
      <c r="E85" s="16">
        <v>36.56</v>
      </c>
      <c r="G85" s="7" t="s">
        <v>67</v>
      </c>
    </row>
    <row r="86" spans="1:8" x14ac:dyDescent="0.2">
      <c r="A86" t="s">
        <v>245</v>
      </c>
      <c r="B86">
        <v>72017</v>
      </c>
      <c r="C86" s="16">
        <v>725</v>
      </c>
      <c r="D86" s="16">
        <v>100</v>
      </c>
      <c r="E86" s="16">
        <v>36.950000000000003</v>
      </c>
      <c r="G86" s="7" t="s">
        <v>66</v>
      </c>
    </row>
    <row r="87" spans="1:8" x14ac:dyDescent="0.2">
      <c r="A87" t="s">
        <v>245</v>
      </c>
      <c r="B87">
        <v>72017</v>
      </c>
      <c r="C87" s="16">
        <v>46</v>
      </c>
      <c r="D87" s="16">
        <v>100</v>
      </c>
      <c r="G87" s="7" t="s">
        <v>70</v>
      </c>
    </row>
    <row r="88" spans="1:8" x14ac:dyDescent="0.2">
      <c r="A88" t="s">
        <v>245</v>
      </c>
      <c r="B88">
        <v>72017</v>
      </c>
      <c r="C88" s="16">
        <v>161</v>
      </c>
      <c r="D88" s="16">
        <v>100</v>
      </c>
      <c r="E88" s="16">
        <v>126.59</v>
      </c>
      <c r="G88" s="7" t="s">
        <v>72</v>
      </c>
    </row>
    <row r="89" spans="1:8" x14ac:dyDescent="0.2">
      <c r="A89" t="s">
        <v>245</v>
      </c>
      <c r="B89">
        <v>72017</v>
      </c>
      <c r="C89" s="16" t="s">
        <v>246</v>
      </c>
      <c r="D89" s="16">
        <v>100</v>
      </c>
      <c r="E89" s="16">
        <v>38.340000000000003</v>
      </c>
      <c r="G89" s="7" t="s">
        <v>137</v>
      </c>
    </row>
    <row r="90" spans="1:8" x14ac:dyDescent="0.2">
      <c r="A90" t="s">
        <v>245</v>
      </c>
      <c r="B90">
        <v>72017</v>
      </c>
      <c r="D90" s="16">
        <v>100</v>
      </c>
      <c r="E90" s="16">
        <v>41.31</v>
      </c>
      <c r="G90" s="7" t="s">
        <v>69</v>
      </c>
    </row>
    <row r="91" spans="1:8" x14ac:dyDescent="0.2">
      <c r="A91" t="s">
        <v>247</v>
      </c>
      <c r="B91">
        <v>72017</v>
      </c>
      <c r="D91" s="16">
        <f>500+500+500+500+500+500+500+500+500+500+500+500+500+500+500+500</f>
        <v>8000</v>
      </c>
      <c r="G91" s="7" t="s">
        <v>68</v>
      </c>
    </row>
    <row r="92" spans="1:8" x14ac:dyDescent="0.2">
      <c r="A92" t="s">
        <v>247</v>
      </c>
      <c r="B92">
        <v>72017</v>
      </c>
      <c r="D92" s="16">
        <f>500+500+500+500+205</f>
        <v>2205</v>
      </c>
      <c r="G92" s="7" t="s">
        <v>67</v>
      </c>
    </row>
    <row r="93" spans="1:8" x14ac:dyDescent="0.2">
      <c r="A93" t="s">
        <v>247</v>
      </c>
      <c r="B93">
        <v>72017</v>
      </c>
      <c r="D93" s="16">
        <f>500+465</f>
        <v>965</v>
      </c>
      <c r="G93" s="7" t="s">
        <v>66</v>
      </c>
    </row>
    <row r="94" spans="1:8" s="9" customFormat="1" x14ac:dyDescent="0.2">
      <c r="A94" s="9" t="s">
        <v>247</v>
      </c>
      <c r="B94" s="9">
        <v>72017</v>
      </c>
      <c r="C94" s="20"/>
      <c r="D94" s="20"/>
      <c r="E94" s="20"/>
      <c r="F94" s="20"/>
      <c r="G94" s="9" t="s">
        <v>70</v>
      </c>
    </row>
    <row r="95" spans="1:8" s="9" customFormat="1" x14ac:dyDescent="0.2">
      <c r="A95" s="9" t="s">
        <v>247</v>
      </c>
      <c r="B95" s="9">
        <v>72017</v>
      </c>
      <c r="C95" s="20"/>
      <c r="D95" s="20"/>
      <c r="E95" s="20"/>
      <c r="F95" s="20"/>
      <c r="G95" s="9" t="s">
        <v>72</v>
      </c>
    </row>
    <row r="96" spans="1:8" s="9" customFormat="1" x14ac:dyDescent="0.2">
      <c r="A96" s="9" t="s">
        <v>247</v>
      </c>
      <c r="B96" s="9">
        <v>72017</v>
      </c>
      <c r="C96" s="20"/>
      <c r="D96" s="20"/>
      <c r="E96" s="20"/>
      <c r="F96" s="20"/>
      <c r="G96" s="9" t="s">
        <v>137</v>
      </c>
    </row>
    <row r="97" spans="1:7" s="9" customFormat="1" x14ac:dyDescent="0.2">
      <c r="A97" s="9" t="s">
        <v>247</v>
      </c>
      <c r="B97" s="9">
        <v>72017</v>
      </c>
      <c r="C97" s="20"/>
      <c r="D97" s="20"/>
      <c r="E97" s="20"/>
      <c r="F97" s="20"/>
      <c r="G97" s="9" t="s">
        <v>69</v>
      </c>
    </row>
    <row r="98" spans="1:7" s="9" customFormat="1" x14ac:dyDescent="0.2">
      <c r="A98" s="9" t="s">
        <v>248</v>
      </c>
      <c r="B98" s="9">
        <v>72017</v>
      </c>
      <c r="C98" s="20"/>
      <c r="D98" s="20">
        <f>500+500+500</f>
        <v>1500</v>
      </c>
      <c r="E98" s="20"/>
      <c r="F98" s="20"/>
      <c r="G98" s="9" t="s">
        <v>68</v>
      </c>
    </row>
    <row r="99" spans="1:7" s="14" customFormat="1" x14ac:dyDescent="0.2">
      <c r="A99" s="14" t="s">
        <v>248</v>
      </c>
      <c r="B99" s="14">
        <v>72017</v>
      </c>
      <c r="C99" s="19"/>
      <c r="D99" s="19">
        <f>500+500+500+500+500+500+500+500</f>
        <v>4000</v>
      </c>
      <c r="E99" s="19"/>
      <c r="F99" s="19"/>
      <c r="G99" s="9" t="s">
        <v>67</v>
      </c>
    </row>
    <row r="100" spans="1:7" s="14" customFormat="1" x14ac:dyDescent="0.2">
      <c r="A100" s="14" t="s">
        <v>248</v>
      </c>
      <c r="B100" s="14">
        <v>72017</v>
      </c>
      <c r="C100" s="19"/>
      <c r="D100" s="19">
        <f>500+500+500+500+500+500+500+500</f>
        <v>4000</v>
      </c>
      <c r="E100" s="19"/>
      <c r="F100" s="19"/>
      <c r="G100" s="9" t="s">
        <v>146</v>
      </c>
    </row>
    <row r="101" spans="1:7" s="9" customFormat="1" x14ac:dyDescent="0.2">
      <c r="A101" s="9" t="s">
        <v>248</v>
      </c>
      <c r="B101" s="9">
        <v>72017</v>
      </c>
      <c r="C101" s="20"/>
      <c r="D101" s="20"/>
      <c r="E101" s="20"/>
      <c r="F101" s="20"/>
      <c r="G101" s="9" t="s">
        <v>66</v>
      </c>
    </row>
    <row r="102" spans="1:7" s="9" customFormat="1" x14ac:dyDescent="0.2">
      <c r="A102" s="9" t="s">
        <v>248</v>
      </c>
      <c r="B102" s="9">
        <v>72017</v>
      </c>
      <c r="C102" s="20"/>
      <c r="D102" s="20"/>
      <c r="E102" s="20"/>
      <c r="F102" s="20"/>
      <c r="G102" s="9" t="s">
        <v>70</v>
      </c>
    </row>
    <row r="103" spans="1:7" s="9" customFormat="1" x14ac:dyDescent="0.2">
      <c r="A103" s="9" t="s">
        <v>248</v>
      </c>
      <c r="B103" s="9">
        <v>72017</v>
      </c>
      <c r="C103" s="20"/>
      <c r="D103" s="20"/>
      <c r="E103" s="20"/>
      <c r="F103" s="20"/>
      <c r="G103" s="9" t="s">
        <v>72</v>
      </c>
    </row>
    <row r="104" spans="1:7" s="14" customFormat="1" x14ac:dyDescent="0.2">
      <c r="A104" s="14" t="s">
        <v>248</v>
      </c>
      <c r="B104" s="14">
        <v>72017</v>
      </c>
      <c r="C104" s="19" t="s">
        <v>250</v>
      </c>
      <c r="D104" s="19">
        <f>500+485</f>
        <v>985</v>
      </c>
      <c r="E104" s="19">
        <v>38.909999999999997</v>
      </c>
      <c r="F104" s="19"/>
      <c r="G104" s="9" t="s">
        <v>137</v>
      </c>
    </row>
    <row r="105" spans="1:7" x14ac:dyDescent="0.2">
      <c r="A105" t="s">
        <v>248</v>
      </c>
      <c r="B105">
        <v>72017</v>
      </c>
      <c r="D105" s="16">
        <f>500+500+500+500+500+500+500</f>
        <v>3500</v>
      </c>
      <c r="G105" s="7" t="s">
        <v>147</v>
      </c>
    </row>
    <row r="106" spans="1:7" x14ac:dyDescent="0.2">
      <c r="A106" t="s">
        <v>248</v>
      </c>
      <c r="B106">
        <v>72017</v>
      </c>
      <c r="D106" s="16">
        <f>500+500+320</f>
        <v>1320</v>
      </c>
      <c r="G106" s="7" t="s">
        <v>69</v>
      </c>
    </row>
    <row r="107" spans="1:7" s="9" customFormat="1" x14ac:dyDescent="0.2">
      <c r="A107" s="9" t="s">
        <v>249</v>
      </c>
      <c r="B107" s="9">
        <v>72017</v>
      </c>
      <c r="C107" s="20"/>
      <c r="D107" s="20">
        <f>500+500+500</f>
        <v>1500</v>
      </c>
      <c r="E107" s="20"/>
      <c r="F107" s="20"/>
      <c r="G107" s="9" t="s">
        <v>68</v>
      </c>
    </row>
    <row r="108" spans="1:7" x14ac:dyDescent="0.2">
      <c r="A108" t="s">
        <v>249</v>
      </c>
      <c r="B108">
        <v>72017</v>
      </c>
      <c r="C108" s="16">
        <v>710</v>
      </c>
      <c r="D108" s="16">
        <f>500+500</f>
        <v>1000</v>
      </c>
      <c r="E108" s="16">
        <v>36.94</v>
      </c>
      <c r="G108" s="7" t="s">
        <v>67</v>
      </c>
    </row>
    <row r="109" spans="1:7" x14ac:dyDescent="0.2">
      <c r="A109" t="s">
        <v>249</v>
      </c>
      <c r="B109">
        <v>72017</v>
      </c>
      <c r="C109" s="16">
        <v>711</v>
      </c>
      <c r="D109" s="16">
        <f>500+500</f>
        <v>1000</v>
      </c>
      <c r="E109" s="16">
        <v>36.65</v>
      </c>
      <c r="G109" s="7" t="s">
        <v>66</v>
      </c>
    </row>
    <row r="110" spans="1:7" x14ac:dyDescent="0.2">
      <c r="A110" t="s">
        <v>249</v>
      </c>
      <c r="B110">
        <v>72017</v>
      </c>
      <c r="C110" s="16">
        <v>54</v>
      </c>
      <c r="D110" s="16">
        <f>500+500+500+500+315</f>
        <v>2315</v>
      </c>
      <c r="G110" s="7" t="s">
        <v>70</v>
      </c>
    </row>
    <row r="111" spans="1:7" x14ac:dyDescent="0.2">
      <c r="A111" t="s">
        <v>249</v>
      </c>
      <c r="B111">
        <v>72017</v>
      </c>
      <c r="C111" s="16">
        <v>183</v>
      </c>
      <c r="D111" s="16">
        <f>500+500+500+310</f>
        <v>1810</v>
      </c>
      <c r="E111" s="16">
        <v>126.8</v>
      </c>
      <c r="G111" s="7" t="s">
        <v>72</v>
      </c>
    </row>
    <row r="112" spans="1:7" x14ac:dyDescent="0.2">
      <c r="A112" t="s">
        <v>249</v>
      </c>
      <c r="B112">
        <v>72017</v>
      </c>
      <c r="D112" s="16">
        <f>500+500</f>
        <v>1000</v>
      </c>
      <c r="G112" s="7" t="s">
        <v>137</v>
      </c>
    </row>
    <row r="113" spans="1:8" x14ac:dyDescent="0.2">
      <c r="A113" t="s">
        <v>249</v>
      </c>
      <c r="B113">
        <v>72017</v>
      </c>
      <c r="D113" s="16">
        <f>500+500</f>
        <v>1000</v>
      </c>
      <c r="E113" s="16">
        <v>41.46</v>
      </c>
      <c r="G113" s="7" t="s">
        <v>69</v>
      </c>
    </row>
    <row r="114" spans="1:8" s="10" customFormat="1" x14ac:dyDescent="0.2">
      <c r="A114" s="10" t="s">
        <v>252</v>
      </c>
      <c r="B114" s="10">
        <v>72017</v>
      </c>
      <c r="C114" s="18"/>
      <c r="D114" s="18">
        <v>10</v>
      </c>
      <c r="E114" s="18">
        <f>7</f>
        <v>7</v>
      </c>
      <c r="F114" s="18"/>
      <c r="G114" s="11" t="s">
        <v>68</v>
      </c>
      <c r="H114" s="11" t="s">
        <v>279</v>
      </c>
    </row>
    <row r="115" spans="1:8" s="10" customFormat="1" x14ac:dyDescent="0.2">
      <c r="A115" s="10" t="s">
        <v>252</v>
      </c>
      <c r="B115" s="10">
        <v>72017</v>
      </c>
      <c r="C115" s="18">
        <v>433</v>
      </c>
      <c r="D115" s="18">
        <v>2</v>
      </c>
      <c r="E115" s="18">
        <v>36.299999999999997</v>
      </c>
      <c r="F115" s="18"/>
      <c r="G115" s="11" t="s">
        <v>67</v>
      </c>
      <c r="H115" s="10" t="s">
        <v>256</v>
      </c>
    </row>
    <row r="116" spans="1:8" s="10" customFormat="1" x14ac:dyDescent="0.2">
      <c r="A116" s="10" t="s">
        <v>252</v>
      </c>
      <c r="B116" s="10">
        <v>72017</v>
      </c>
      <c r="C116" s="18">
        <v>438</v>
      </c>
      <c r="D116" s="18">
        <v>2</v>
      </c>
      <c r="E116" s="18">
        <v>35.71</v>
      </c>
      <c r="F116" s="18"/>
      <c r="G116" s="11" t="s">
        <v>66</v>
      </c>
    </row>
    <row r="117" spans="1:8" s="10" customFormat="1" x14ac:dyDescent="0.2">
      <c r="A117" s="10" t="s">
        <v>252</v>
      </c>
      <c r="B117" s="10">
        <v>72017</v>
      </c>
      <c r="C117" s="18">
        <v>79</v>
      </c>
      <c r="D117" s="18">
        <v>4</v>
      </c>
      <c r="E117" s="18"/>
      <c r="F117" s="18"/>
      <c r="G117" s="11" t="s">
        <v>70</v>
      </c>
    </row>
    <row r="118" spans="1:8" s="10" customFormat="1" x14ac:dyDescent="0.2">
      <c r="A118" s="10" t="s">
        <v>252</v>
      </c>
      <c r="B118" s="10">
        <v>72017</v>
      </c>
      <c r="C118" s="18">
        <v>168</v>
      </c>
      <c r="D118" s="18">
        <v>4</v>
      </c>
      <c r="E118" s="18">
        <v>123.75</v>
      </c>
      <c r="F118" s="18"/>
      <c r="G118" s="11" t="s">
        <v>72</v>
      </c>
    </row>
    <row r="119" spans="1:8" s="10" customFormat="1" x14ac:dyDescent="0.2">
      <c r="A119" s="10" t="s">
        <v>252</v>
      </c>
      <c r="B119" s="10">
        <v>72017</v>
      </c>
      <c r="C119" s="18" t="s">
        <v>255</v>
      </c>
      <c r="D119" s="18">
        <v>2</v>
      </c>
      <c r="E119" s="18">
        <v>37.6</v>
      </c>
      <c r="F119" s="18"/>
      <c r="G119" s="11" t="s">
        <v>137</v>
      </c>
    </row>
    <row r="120" spans="1:8" s="10" customFormat="1" x14ac:dyDescent="0.2">
      <c r="A120" s="10" t="s">
        <v>252</v>
      </c>
      <c r="B120" s="10">
        <v>72017</v>
      </c>
      <c r="C120" s="18"/>
      <c r="D120" s="18">
        <v>2</v>
      </c>
      <c r="E120" s="18">
        <v>40.72</v>
      </c>
      <c r="F120" s="18"/>
      <c r="G120" s="11" t="s">
        <v>69</v>
      </c>
    </row>
    <row r="121" spans="1:8" x14ac:dyDescent="0.2">
      <c r="A121" s="10" t="s">
        <v>252</v>
      </c>
      <c r="B121" s="10">
        <v>72017</v>
      </c>
      <c r="C121" s="16" t="s">
        <v>260</v>
      </c>
      <c r="D121" s="16">
        <v>2</v>
      </c>
      <c r="E121" s="16">
        <v>37.909999999999997</v>
      </c>
      <c r="G121" s="7" t="s">
        <v>273</v>
      </c>
    </row>
    <row r="122" spans="1:8" x14ac:dyDescent="0.2">
      <c r="A122" s="10" t="s">
        <v>252</v>
      </c>
      <c r="B122" s="10">
        <v>72017</v>
      </c>
      <c r="C122" s="16">
        <v>40</v>
      </c>
      <c r="D122" s="16">
        <v>4</v>
      </c>
      <c r="G122" s="7" t="s">
        <v>142</v>
      </c>
    </row>
    <row r="123" spans="1:8" x14ac:dyDescent="0.2">
      <c r="A123" s="10" t="s">
        <v>252</v>
      </c>
      <c r="B123" s="10">
        <v>72017</v>
      </c>
      <c r="D123" s="16">
        <v>4</v>
      </c>
      <c r="G123" s="7" t="s">
        <v>140</v>
      </c>
    </row>
    <row r="124" spans="1:8" x14ac:dyDescent="0.2">
      <c r="A124" s="10" t="s">
        <v>252</v>
      </c>
      <c r="B124" s="10">
        <v>72017</v>
      </c>
      <c r="C124" s="16" t="s">
        <v>259</v>
      </c>
      <c r="D124" s="16">
        <v>2</v>
      </c>
      <c r="E124" s="16">
        <v>38.979999999999997</v>
      </c>
      <c r="G124" s="7" t="s">
        <v>147</v>
      </c>
    </row>
    <row r="125" spans="1:8" x14ac:dyDescent="0.2">
      <c r="A125" s="10" t="s">
        <v>252</v>
      </c>
      <c r="B125" s="10">
        <v>72017</v>
      </c>
      <c r="D125" s="16">
        <v>3</v>
      </c>
      <c r="E125" s="16">
        <v>41.37</v>
      </c>
      <c r="G125" s="7" t="s">
        <v>274</v>
      </c>
    </row>
    <row r="126" spans="1:8" x14ac:dyDescent="0.2">
      <c r="A126" t="s">
        <v>253</v>
      </c>
      <c r="B126">
        <v>72017</v>
      </c>
      <c r="D126" s="16">
        <f>6+12</f>
        <v>18</v>
      </c>
      <c r="G126" s="7" t="s">
        <v>68</v>
      </c>
    </row>
    <row r="127" spans="1:8" x14ac:dyDescent="0.2">
      <c r="A127" t="s">
        <v>253</v>
      </c>
      <c r="B127">
        <v>72017</v>
      </c>
      <c r="C127" s="16">
        <v>506</v>
      </c>
      <c r="D127" s="18">
        <v>8</v>
      </c>
      <c r="E127" s="18">
        <v>36.47</v>
      </c>
      <c r="G127" s="7" t="s">
        <v>67</v>
      </c>
    </row>
    <row r="128" spans="1:8" s="12" customFormat="1" x14ac:dyDescent="0.2">
      <c r="A128" s="12" t="s">
        <v>253</v>
      </c>
      <c r="B128" s="12">
        <v>72017</v>
      </c>
      <c r="C128" s="21"/>
      <c r="D128" s="21"/>
      <c r="E128" s="21"/>
      <c r="F128" s="21"/>
      <c r="G128" s="13" t="s">
        <v>66</v>
      </c>
    </row>
    <row r="129" spans="1:7" x14ac:dyDescent="0.2">
      <c r="A129" t="s">
        <v>253</v>
      </c>
      <c r="B129">
        <v>72017</v>
      </c>
      <c r="C129" s="16">
        <v>73</v>
      </c>
      <c r="D129" s="18">
        <v>13</v>
      </c>
      <c r="G129" s="7" t="s">
        <v>70</v>
      </c>
    </row>
    <row r="130" spans="1:7" x14ac:dyDescent="0.2">
      <c r="A130" t="s">
        <v>253</v>
      </c>
      <c r="B130">
        <v>72017</v>
      </c>
      <c r="C130" s="16">
        <v>179</v>
      </c>
      <c r="D130" s="16">
        <v>21</v>
      </c>
      <c r="E130" s="16">
        <v>127.25</v>
      </c>
      <c r="G130" s="7" t="s">
        <v>72</v>
      </c>
    </row>
    <row r="131" spans="1:7" x14ac:dyDescent="0.2">
      <c r="A131" t="s">
        <v>253</v>
      </c>
      <c r="B131">
        <v>72017</v>
      </c>
      <c r="C131" s="16" t="s">
        <v>258</v>
      </c>
      <c r="D131" s="16">
        <v>8</v>
      </c>
      <c r="E131" s="16">
        <v>37.81</v>
      </c>
      <c r="G131" s="7" t="s">
        <v>137</v>
      </c>
    </row>
    <row r="132" spans="1:7" x14ac:dyDescent="0.2">
      <c r="A132" t="s">
        <v>253</v>
      </c>
      <c r="B132">
        <v>72017</v>
      </c>
      <c r="D132" s="16">
        <v>7</v>
      </c>
      <c r="E132" s="16">
        <v>41.34</v>
      </c>
      <c r="G132" s="7" t="s">
        <v>69</v>
      </c>
    </row>
    <row r="133" spans="1:7" s="14" customFormat="1" x14ac:dyDescent="0.2">
      <c r="A133" s="14">
        <v>35</v>
      </c>
      <c r="B133" s="14">
        <v>72017</v>
      </c>
      <c r="C133" s="19"/>
      <c r="D133" s="19"/>
      <c r="E133" s="19">
        <f>56+61+99</f>
        <v>216</v>
      </c>
      <c r="F133" s="19"/>
      <c r="G133" s="9" t="s">
        <v>68</v>
      </c>
    </row>
    <row r="134" spans="1:7" x14ac:dyDescent="0.2">
      <c r="A134">
        <v>35</v>
      </c>
      <c r="B134">
        <v>72017</v>
      </c>
      <c r="C134" s="16">
        <v>51.6</v>
      </c>
      <c r="D134" s="16">
        <f>100+100</f>
        <v>200</v>
      </c>
      <c r="G134" s="7" t="s">
        <v>67</v>
      </c>
    </row>
    <row r="135" spans="1:7" x14ac:dyDescent="0.2">
      <c r="A135">
        <v>35</v>
      </c>
      <c r="B135">
        <v>72017</v>
      </c>
      <c r="C135" s="16">
        <v>530</v>
      </c>
      <c r="D135" s="16">
        <v>9</v>
      </c>
      <c r="E135" s="16">
        <v>35.03</v>
      </c>
      <c r="G135" s="7" t="s">
        <v>66</v>
      </c>
    </row>
    <row r="136" spans="1:7" x14ac:dyDescent="0.2">
      <c r="A136">
        <v>35</v>
      </c>
      <c r="B136">
        <v>72017</v>
      </c>
      <c r="C136" s="16">
        <v>130</v>
      </c>
      <c r="D136" s="16">
        <f>100+100+100+87</f>
        <v>387</v>
      </c>
      <c r="G136" s="7" t="s">
        <v>70</v>
      </c>
    </row>
    <row r="137" spans="1:7" s="12" customFormat="1" x14ac:dyDescent="0.2">
      <c r="A137" s="12">
        <v>35</v>
      </c>
      <c r="B137" s="12">
        <v>72017</v>
      </c>
      <c r="C137" s="21"/>
      <c r="D137" s="21"/>
      <c r="E137" s="21"/>
      <c r="F137" s="21"/>
      <c r="G137" s="13" t="s">
        <v>72</v>
      </c>
    </row>
    <row r="138" spans="1:7" x14ac:dyDescent="0.2">
      <c r="A138">
        <v>35</v>
      </c>
      <c r="B138">
        <v>72017</v>
      </c>
      <c r="C138" s="16" t="s">
        <v>254</v>
      </c>
      <c r="D138" s="16">
        <f>100+100</f>
        <v>200</v>
      </c>
      <c r="G138" s="7" t="s">
        <v>137</v>
      </c>
    </row>
    <row r="139" spans="1:7" s="12" customFormat="1" x14ac:dyDescent="0.2">
      <c r="A139" s="12">
        <v>35</v>
      </c>
      <c r="B139" s="12">
        <v>72017</v>
      </c>
      <c r="C139" s="21"/>
      <c r="D139" s="21"/>
      <c r="E139" s="21"/>
      <c r="F139" s="21"/>
      <c r="G139" s="13" t="s">
        <v>69</v>
      </c>
    </row>
    <row r="140" spans="1:7" x14ac:dyDescent="0.2">
      <c r="A140" s="7" t="s">
        <v>251</v>
      </c>
      <c r="B140">
        <v>72017</v>
      </c>
      <c r="D140" s="16">
        <v>50</v>
      </c>
      <c r="G140" s="7" t="s">
        <v>68</v>
      </c>
    </row>
    <row r="141" spans="1:7" x14ac:dyDescent="0.2">
      <c r="A141" s="7" t="s">
        <v>251</v>
      </c>
      <c r="B141">
        <v>72017</v>
      </c>
      <c r="C141" s="16">
        <v>531</v>
      </c>
      <c r="D141" s="16">
        <v>30</v>
      </c>
      <c r="G141" s="7" t="s">
        <v>67</v>
      </c>
    </row>
    <row r="142" spans="1:7" x14ac:dyDescent="0.2">
      <c r="A142" s="7" t="s">
        <v>251</v>
      </c>
      <c r="B142">
        <v>72017</v>
      </c>
      <c r="C142" s="16">
        <v>540</v>
      </c>
      <c r="D142" s="16">
        <v>31</v>
      </c>
      <c r="E142" s="16">
        <v>35.76</v>
      </c>
      <c r="G142" s="7" t="s">
        <v>66</v>
      </c>
    </row>
    <row r="143" spans="1:7" x14ac:dyDescent="0.2">
      <c r="A143" s="7" t="s">
        <v>251</v>
      </c>
      <c r="B143">
        <v>72017</v>
      </c>
      <c r="C143" s="16">
        <v>20</v>
      </c>
      <c r="D143" s="16">
        <v>50</v>
      </c>
      <c r="G143" s="7" t="s">
        <v>70</v>
      </c>
    </row>
    <row r="144" spans="1:7" x14ac:dyDescent="0.2">
      <c r="A144" s="7" t="s">
        <v>251</v>
      </c>
      <c r="B144">
        <v>72017</v>
      </c>
      <c r="C144" s="16">
        <v>188</v>
      </c>
      <c r="D144" s="16">
        <v>50</v>
      </c>
      <c r="G144" s="7" t="s">
        <v>72</v>
      </c>
    </row>
    <row r="145" spans="1:7" x14ac:dyDescent="0.2">
      <c r="A145" s="7" t="s">
        <v>251</v>
      </c>
      <c r="B145">
        <v>72017</v>
      </c>
      <c r="C145" s="16" t="s">
        <v>257</v>
      </c>
      <c r="D145" s="16">
        <v>30</v>
      </c>
      <c r="G145" s="7" t="s">
        <v>137</v>
      </c>
    </row>
    <row r="146" spans="1:7" x14ac:dyDescent="0.2">
      <c r="A146" s="7" t="s">
        <v>251</v>
      </c>
      <c r="B146">
        <v>72017</v>
      </c>
      <c r="D146" s="16">
        <f>30+50</f>
        <v>80</v>
      </c>
      <c r="E146" s="16">
        <v>41.88</v>
      </c>
      <c r="G146" s="7" t="s">
        <v>69</v>
      </c>
    </row>
    <row r="147" spans="1:7" x14ac:dyDescent="0.2">
      <c r="A147" s="10" t="s">
        <v>227</v>
      </c>
      <c r="B147" s="10">
        <v>72217</v>
      </c>
      <c r="D147" s="16">
        <f>500+500+500</f>
        <v>1500</v>
      </c>
      <c r="G147" s="7" t="s">
        <v>68</v>
      </c>
    </row>
    <row r="148" spans="1:7" x14ac:dyDescent="0.2">
      <c r="A148" s="10" t="s">
        <v>227</v>
      </c>
      <c r="B148" s="10">
        <v>72217</v>
      </c>
      <c r="D148" s="16">
        <f>500+500+500</f>
        <v>1500</v>
      </c>
      <c r="G148" s="7" t="s">
        <v>67</v>
      </c>
    </row>
    <row r="149" spans="1:7" x14ac:dyDescent="0.2">
      <c r="A149" s="10" t="s">
        <v>227</v>
      </c>
      <c r="B149" s="10">
        <v>72217</v>
      </c>
      <c r="D149" s="16">
        <v>500</v>
      </c>
      <c r="G149" s="7" t="s">
        <v>66</v>
      </c>
    </row>
    <row r="150" spans="1:7" x14ac:dyDescent="0.2">
      <c r="A150" s="10" t="s">
        <v>227</v>
      </c>
      <c r="B150" s="10">
        <v>72217</v>
      </c>
      <c r="D150" s="16">
        <f>500+500+500+500+500+500+500+500</f>
        <v>4000</v>
      </c>
      <c r="G150" s="7" t="s">
        <v>70</v>
      </c>
    </row>
    <row r="151" spans="1:7" s="12" customFormat="1" x14ac:dyDescent="0.2">
      <c r="A151" s="12" t="s">
        <v>227</v>
      </c>
      <c r="B151" s="12">
        <v>72217</v>
      </c>
      <c r="C151" s="21"/>
      <c r="D151" s="21" t="s">
        <v>26</v>
      </c>
      <c r="E151" s="21"/>
      <c r="F151" s="21"/>
      <c r="G151" s="13" t="s">
        <v>72</v>
      </c>
    </row>
    <row r="152" spans="1:7" x14ac:dyDescent="0.2">
      <c r="A152" s="10" t="s">
        <v>227</v>
      </c>
      <c r="B152" s="10">
        <v>72217</v>
      </c>
      <c r="D152" s="16">
        <f>500+500+500</f>
        <v>1500</v>
      </c>
      <c r="G152" s="7" t="s">
        <v>137</v>
      </c>
    </row>
    <row r="153" spans="1:7" x14ac:dyDescent="0.2">
      <c r="A153" s="10" t="s">
        <v>227</v>
      </c>
      <c r="B153" s="10">
        <v>72217</v>
      </c>
      <c r="D153" s="16">
        <f>500+500+500+65+500</f>
        <v>2065</v>
      </c>
      <c r="G153" s="7" t="s">
        <v>69</v>
      </c>
    </row>
    <row r="154" spans="1:7" x14ac:dyDescent="0.2">
      <c r="A154" t="s">
        <v>226</v>
      </c>
      <c r="B154" s="10">
        <v>72217</v>
      </c>
      <c r="D154" s="16">
        <v>300</v>
      </c>
      <c r="G154" s="7" t="s">
        <v>68</v>
      </c>
    </row>
    <row r="155" spans="1:7" x14ac:dyDescent="0.2">
      <c r="A155" t="s">
        <v>226</v>
      </c>
      <c r="B155" s="10">
        <v>72217</v>
      </c>
      <c r="D155" s="16">
        <v>270</v>
      </c>
      <c r="G155" s="7" t="s">
        <v>261</v>
      </c>
    </row>
    <row r="156" spans="1:7" x14ac:dyDescent="0.2">
      <c r="A156" t="s">
        <v>226</v>
      </c>
      <c r="B156" s="10">
        <v>72217</v>
      </c>
      <c r="C156" s="19">
        <v>744</v>
      </c>
      <c r="D156" s="19">
        <v>145</v>
      </c>
      <c r="E156" s="19"/>
      <c r="G156" s="7" t="s">
        <v>67</v>
      </c>
    </row>
    <row r="157" spans="1:7" x14ac:dyDescent="0.2">
      <c r="A157" t="s">
        <v>226</v>
      </c>
      <c r="B157" s="10">
        <v>72217</v>
      </c>
      <c r="C157" s="19" t="s">
        <v>264</v>
      </c>
      <c r="D157" s="19">
        <v>99</v>
      </c>
      <c r="E157" s="19">
        <v>38.67</v>
      </c>
      <c r="G157" s="7" t="s">
        <v>66</v>
      </c>
    </row>
    <row r="158" spans="1:7" x14ac:dyDescent="0.2">
      <c r="A158" t="s">
        <v>226</v>
      </c>
      <c r="B158" s="10">
        <v>72217</v>
      </c>
      <c r="C158" s="19"/>
      <c r="D158" s="19">
        <v>310</v>
      </c>
      <c r="E158" s="19"/>
      <c r="G158" s="7" t="s">
        <v>70</v>
      </c>
    </row>
    <row r="159" spans="1:7" x14ac:dyDescent="0.2">
      <c r="A159" t="s">
        <v>226</v>
      </c>
      <c r="B159" s="10">
        <v>72217</v>
      </c>
      <c r="C159" s="19"/>
      <c r="D159" s="19">
        <v>330</v>
      </c>
      <c r="E159" s="19"/>
      <c r="G159" s="7" t="s">
        <v>72</v>
      </c>
    </row>
    <row r="160" spans="1:7" x14ac:dyDescent="0.2">
      <c r="A160" t="s">
        <v>226</v>
      </c>
      <c r="B160" s="10">
        <v>72217</v>
      </c>
      <c r="C160" s="19"/>
      <c r="D160" s="19">
        <v>100</v>
      </c>
      <c r="E160" s="19">
        <v>38.380000000000003</v>
      </c>
      <c r="G160" s="7" t="s">
        <v>137</v>
      </c>
    </row>
    <row r="161" spans="1:8" x14ac:dyDescent="0.2">
      <c r="A161" t="s">
        <v>226</v>
      </c>
      <c r="B161" s="10">
        <v>72217</v>
      </c>
      <c r="C161" s="19"/>
      <c r="D161" s="19">
        <f>100+100+100</f>
        <v>300</v>
      </c>
      <c r="E161" s="19"/>
      <c r="G161" s="7" t="s">
        <v>69</v>
      </c>
    </row>
    <row r="162" spans="1:8" x14ac:dyDescent="0.2">
      <c r="A162" t="s">
        <v>231</v>
      </c>
      <c r="B162" s="10">
        <v>72217</v>
      </c>
      <c r="D162" s="16">
        <f>500+500+500</f>
        <v>1500</v>
      </c>
      <c r="G162" s="7" t="s">
        <v>68</v>
      </c>
    </row>
    <row r="163" spans="1:8" x14ac:dyDescent="0.2">
      <c r="A163" t="s">
        <v>231</v>
      </c>
      <c r="B163" s="10">
        <v>72217</v>
      </c>
      <c r="C163" s="16">
        <v>716</v>
      </c>
      <c r="D163" s="16">
        <f>500+240</f>
        <v>740</v>
      </c>
      <c r="E163" s="16">
        <v>36.5</v>
      </c>
      <c r="G163" s="7" t="s">
        <v>67</v>
      </c>
    </row>
    <row r="164" spans="1:8" x14ac:dyDescent="0.2">
      <c r="A164" t="s">
        <v>231</v>
      </c>
      <c r="B164" s="10">
        <v>72217</v>
      </c>
      <c r="C164" s="16">
        <v>729</v>
      </c>
      <c r="D164" s="16">
        <f>500+270</f>
        <v>770</v>
      </c>
      <c r="E164" s="16">
        <v>37.130000000000003</v>
      </c>
      <c r="G164" s="7" t="s">
        <v>66</v>
      </c>
    </row>
    <row r="165" spans="1:8" x14ac:dyDescent="0.2">
      <c r="A165" t="s">
        <v>231</v>
      </c>
      <c r="B165" s="10">
        <v>72217</v>
      </c>
      <c r="C165" s="16">
        <v>69</v>
      </c>
      <c r="D165" s="16">
        <f>500+500+500</f>
        <v>1500</v>
      </c>
      <c r="G165" s="7" t="s">
        <v>70</v>
      </c>
    </row>
    <row r="166" spans="1:8" x14ac:dyDescent="0.2">
      <c r="A166" t="s">
        <v>231</v>
      </c>
      <c r="B166" s="10">
        <v>72217</v>
      </c>
      <c r="D166" s="16">
        <f>500+500+500</f>
        <v>1500</v>
      </c>
      <c r="G166" s="7" t="s">
        <v>72</v>
      </c>
    </row>
    <row r="167" spans="1:8" x14ac:dyDescent="0.2">
      <c r="A167" t="s">
        <v>231</v>
      </c>
      <c r="B167" s="10">
        <v>72217</v>
      </c>
      <c r="D167" s="16">
        <f>500+170</f>
        <v>670</v>
      </c>
      <c r="G167" s="7" t="s">
        <v>137</v>
      </c>
    </row>
    <row r="168" spans="1:8" x14ac:dyDescent="0.2">
      <c r="A168" t="s">
        <v>231</v>
      </c>
      <c r="B168" s="10">
        <v>72217</v>
      </c>
      <c r="D168" s="16">
        <f>500+500</f>
        <v>1000</v>
      </c>
      <c r="E168" s="16">
        <v>41.47</v>
      </c>
      <c r="G168" s="7" t="s">
        <v>69</v>
      </c>
    </row>
    <row r="169" spans="1:8" x14ac:dyDescent="0.2">
      <c r="A169" t="s">
        <v>228</v>
      </c>
      <c r="B169" s="10">
        <v>72217</v>
      </c>
      <c r="D169" s="16">
        <v>22</v>
      </c>
      <c r="G169" s="7" t="s">
        <v>68</v>
      </c>
    </row>
    <row r="170" spans="1:8" x14ac:dyDescent="0.2">
      <c r="A170" t="s">
        <v>228</v>
      </c>
      <c r="B170" s="10">
        <v>72217</v>
      </c>
      <c r="C170" s="16">
        <v>513</v>
      </c>
      <c r="D170" s="16">
        <v>14</v>
      </c>
      <c r="E170" s="16">
        <v>35.56</v>
      </c>
      <c r="G170" s="7" t="s">
        <v>67</v>
      </c>
    </row>
    <row r="171" spans="1:8" x14ac:dyDescent="0.2">
      <c r="A171" t="s">
        <v>228</v>
      </c>
      <c r="B171" s="10">
        <v>72217</v>
      </c>
      <c r="D171" s="16">
        <v>16</v>
      </c>
      <c r="G171" s="7" t="s">
        <v>66</v>
      </c>
    </row>
    <row r="172" spans="1:8" x14ac:dyDescent="0.2">
      <c r="A172" t="s">
        <v>228</v>
      </c>
      <c r="B172" s="10">
        <v>72217</v>
      </c>
      <c r="C172" s="16">
        <v>129</v>
      </c>
      <c r="D172" s="16">
        <v>27</v>
      </c>
      <c r="G172" s="7" t="s">
        <v>70</v>
      </c>
    </row>
    <row r="173" spans="1:8" x14ac:dyDescent="0.2">
      <c r="A173" t="s">
        <v>228</v>
      </c>
      <c r="B173" s="10">
        <v>72217</v>
      </c>
      <c r="C173" s="16">
        <v>175</v>
      </c>
      <c r="D173" s="16">
        <v>29</v>
      </c>
      <c r="G173" s="7" t="s">
        <v>72</v>
      </c>
    </row>
    <row r="174" spans="1:8" x14ac:dyDescent="0.2">
      <c r="A174" t="s">
        <v>228</v>
      </c>
      <c r="B174" s="10">
        <v>72217</v>
      </c>
      <c r="C174" s="16" t="s">
        <v>265</v>
      </c>
      <c r="D174" s="16">
        <v>13</v>
      </c>
      <c r="E174" s="16">
        <v>37.840000000000003</v>
      </c>
      <c r="G174" s="7" t="s">
        <v>137</v>
      </c>
    </row>
    <row r="175" spans="1:8" x14ac:dyDescent="0.2">
      <c r="A175" t="s">
        <v>228</v>
      </c>
      <c r="B175" s="10">
        <v>72217</v>
      </c>
      <c r="D175" s="16">
        <v>25</v>
      </c>
      <c r="G175" s="7" t="s">
        <v>69</v>
      </c>
    </row>
    <row r="176" spans="1:8" s="12" customFormat="1" x14ac:dyDescent="0.2">
      <c r="A176" s="12" t="s">
        <v>228</v>
      </c>
      <c r="B176" s="12">
        <v>72217</v>
      </c>
      <c r="C176" s="21"/>
      <c r="D176" s="21">
        <v>23</v>
      </c>
      <c r="E176" s="21"/>
      <c r="F176" s="21"/>
      <c r="G176" s="13" t="s">
        <v>261</v>
      </c>
      <c r="H176" s="13" t="s">
        <v>278</v>
      </c>
    </row>
    <row r="177" spans="1:8" x14ac:dyDescent="0.2">
      <c r="A177" t="s">
        <v>230</v>
      </c>
      <c r="B177">
        <v>72217</v>
      </c>
      <c r="D177" s="16">
        <v>4</v>
      </c>
      <c r="G177" s="7" t="s">
        <v>68</v>
      </c>
    </row>
    <row r="178" spans="1:8" x14ac:dyDescent="0.2">
      <c r="A178" t="s">
        <v>230</v>
      </c>
      <c r="B178">
        <v>72217</v>
      </c>
      <c r="D178" s="16">
        <v>4</v>
      </c>
      <c r="G178" s="7" t="s">
        <v>261</v>
      </c>
    </row>
    <row r="179" spans="1:8" x14ac:dyDescent="0.2">
      <c r="A179" t="s">
        <v>230</v>
      </c>
      <c r="B179">
        <v>72217</v>
      </c>
      <c r="C179" s="16">
        <v>724</v>
      </c>
      <c r="D179" s="16">
        <v>2</v>
      </c>
      <c r="E179" s="16">
        <v>36.51</v>
      </c>
      <c r="G179" s="7" t="s">
        <v>67</v>
      </c>
    </row>
    <row r="180" spans="1:8" x14ac:dyDescent="0.2">
      <c r="A180" t="s">
        <v>230</v>
      </c>
      <c r="B180">
        <v>72217</v>
      </c>
      <c r="C180" s="16">
        <v>787</v>
      </c>
      <c r="D180" s="16">
        <v>2</v>
      </c>
      <c r="E180" s="16">
        <v>34.81</v>
      </c>
      <c r="G180" s="7" t="s">
        <v>146</v>
      </c>
    </row>
    <row r="181" spans="1:8" x14ac:dyDescent="0.2">
      <c r="A181" t="s">
        <v>230</v>
      </c>
      <c r="B181">
        <v>72217</v>
      </c>
      <c r="C181" s="16">
        <v>788</v>
      </c>
      <c r="D181" s="16">
        <v>2</v>
      </c>
      <c r="E181" s="16">
        <v>35.32</v>
      </c>
      <c r="G181" s="7" t="s">
        <v>66</v>
      </c>
      <c r="H181" s="7" t="s">
        <v>275</v>
      </c>
    </row>
    <row r="182" spans="1:8" x14ac:dyDescent="0.2">
      <c r="A182" t="s">
        <v>230</v>
      </c>
      <c r="B182">
        <v>72217</v>
      </c>
      <c r="C182" s="16">
        <v>44</v>
      </c>
      <c r="D182" s="16">
        <v>4</v>
      </c>
      <c r="G182" s="7" t="s">
        <v>70</v>
      </c>
    </row>
    <row r="183" spans="1:8" x14ac:dyDescent="0.2">
      <c r="A183" t="s">
        <v>230</v>
      </c>
      <c r="B183">
        <v>72217</v>
      </c>
      <c r="C183" s="16">
        <v>56</v>
      </c>
      <c r="D183" s="16">
        <v>4</v>
      </c>
      <c r="G183" s="7" t="s">
        <v>142</v>
      </c>
    </row>
    <row r="184" spans="1:8" x14ac:dyDescent="0.2">
      <c r="A184" t="s">
        <v>230</v>
      </c>
      <c r="B184">
        <v>72217</v>
      </c>
      <c r="C184" s="19">
        <v>166</v>
      </c>
      <c r="D184" s="19">
        <v>4</v>
      </c>
      <c r="E184" s="19">
        <v>127.21</v>
      </c>
      <c r="G184" s="7" t="s">
        <v>72</v>
      </c>
      <c r="H184" s="7" t="s">
        <v>276</v>
      </c>
    </row>
    <row r="185" spans="1:8" x14ac:dyDescent="0.2">
      <c r="A185" t="s">
        <v>230</v>
      </c>
      <c r="B185">
        <v>72217</v>
      </c>
      <c r="C185" s="16" t="s">
        <v>267</v>
      </c>
      <c r="D185" s="16">
        <v>2</v>
      </c>
      <c r="E185" s="16">
        <v>37.46</v>
      </c>
      <c r="G185" s="7" t="s">
        <v>137</v>
      </c>
    </row>
    <row r="186" spans="1:8" x14ac:dyDescent="0.2">
      <c r="A186" t="s">
        <v>230</v>
      </c>
      <c r="B186">
        <v>72217</v>
      </c>
      <c r="C186" s="16" t="s">
        <v>268</v>
      </c>
      <c r="D186" s="16">
        <v>2</v>
      </c>
      <c r="E186" s="16">
        <v>37.770000000000003</v>
      </c>
      <c r="G186" s="7" t="s">
        <v>147</v>
      </c>
    </row>
    <row r="187" spans="1:8" s="14" customFormat="1" x14ac:dyDescent="0.2">
      <c r="A187" s="14" t="s">
        <v>230</v>
      </c>
      <c r="B187" s="14">
        <v>72217</v>
      </c>
      <c r="C187" s="19"/>
      <c r="D187" s="19">
        <v>2</v>
      </c>
      <c r="E187" s="19">
        <v>41.36</v>
      </c>
      <c r="F187" s="19"/>
      <c r="G187" s="9" t="s">
        <v>69</v>
      </c>
      <c r="H187" s="9" t="s">
        <v>277</v>
      </c>
    </row>
    <row r="188" spans="1:8" s="14" customFormat="1" x14ac:dyDescent="0.2">
      <c r="A188" s="14" t="s">
        <v>229</v>
      </c>
      <c r="B188" s="14">
        <v>72217</v>
      </c>
      <c r="C188" s="19"/>
      <c r="D188" s="19">
        <v>4</v>
      </c>
      <c r="E188" s="19"/>
      <c r="F188" s="19"/>
      <c r="G188" s="9" t="s">
        <v>68</v>
      </c>
    </row>
    <row r="189" spans="1:8" s="14" customFormat="1" x14ac:dyDescent="0.2">
      <c r="A189" s="14" t="s">
        <v>229</v>
      </c>
      <c r="B189" s="14">
        <v>72217</v>
      </c>
      <c r="C189" s="19"/>
      <c r="D189" s="19">
        <v>4</v>
      </c>
      <c r="E189" s="19"/>
      <c r="F189" s="19"/>
      <c r="G189" s="9" t="s">
        <v>261</v>
      </c>
    </row>
    <row r="190" spans="1:8" s="14" customFormat="1" x14ac:dyDescent="0.2">
      <c r="A190" s="14" t="s">
        <v>229</v>
      </c>
      <c r="B190" s="14">
        <v>72217</v>
      </c>
      <c r="C190" s="19">
        <v>728</v>
      </c>
      <c r="D190" s="19">
        <v>2</v>
      </c>
      <c r="E190" s="19">
        <v>36.39</v>
      </c>
      <c r="F190" s="19"/>
      <c r="G190" s="9" t="s">
        <v>67</v>
      </c>
    </row>
    <row r="191" spans="1:8" s="14" customFormat="1" x14ac:dyDescent="0.2">
      <c r="A191" s="14" t="s">
        <v>229</v>
      </c>
      <c r="B191" s="14">
        <v>72217</v>
      </c>
      <c r="C191" s="19" t="s">
        <v>269</v>
      </c>
      <c r="D191" s="19">
        <v>2</v>
      </c>
      <c r="E191" s="19">
        <v>31.15</v>
      </c>
      <c r="F191" s="19"/>
      <c r="G191" s="7" t="s">
        <v>146</v>
      </c>
    </row>
    <row r="192" spans="1:8" s="14" customFormat="1" x14ac:dyDescent="0.2">
      <c r="A192" s="14" t="s">
        <v>229</v>
      </c>
      <c r="B192" s="14">
        <v>72217</v>
      </c>
      <c r="C192" s="19">
        <v>727</v>
      </c>
      <c r="D192" s="19">
        <v>2</v>
      </c>
      <c r="E192" s="19">
        <v>37.020000000000003</v>
      </c>
      <c r="F192" s="19"/>
      <c r="G192" s="9" t="s">
        <v>66</v>
      </c>
    </row>
    <row r="193" spans="1:7" s="14" customFormat="1" x14ac:dyDescent="0.2">
      <c r="A193" s="14" t="s">
        <v>229</v>
      </c>
      <c r="B193" s="14">
        <v>72217</v>
      </c>
      <c r="C193" s="19"/>
      <c r="D193" s="19">
        <v>4</v>
      </c>
      <c r="E193" s="19"/>
      <c r="F193" s="19"/>
      <c r="G193" s="9" t="s">
        <v>70</v>
      </c>
    </row>
    <row r="194" spans="1:7" s="14" customFormat="1" x14ac:dyDescent="0.2">
      <c r="A194" s="14" t="s">
        <v>229</v>
      </c>
      <c r="B194" s="14">
        <v>72217</v>
      </c>
      <c r="C194" s="19">
        <v>162</v>
      </c>
      <c r="D194" s="19">
        <v>4</v>
      </c>
      <c r="E194" s="19">
        <v>127.55</v>
      </c>
      <c r="F194" s="19"/>
      <c r="G194" s="9" t="s">
        <v>72</v>
      </c>
    </row>
    <row r="195" spans="1:7" s="14" customFormat="1" x14ac:dyDescent="0.2">
      <c r="A195" s="14" t="s">
        <v>229</v>
      </c>
      <c r="B195" s="14">
        <v>72217</v>
      </c>
      <c r="C195" s="19" t="s">
        <v>266</v>
      </c>
      <c r="D195" s="19">
        <v>2</v>
      </c>
      <c r="E195" s="19">
        <v>37.869999999999997</v>
      </c>
      <c r="F195" s="19"/>
      <c r="G195" s="9" t="s">
        <v>137</v>
      </c>
    </row>
    <row r="196" spans="1:7" s="14" customFormat="1" x14ac:dyDescent="0.2">
      <c r="A196" s="14" t="s">
        <v>229</v>
      </c>
      <c r="B196" s="14">
        <v>72217</v>
      </c>
      <c r="C196" s="19" t="s">
        <v>270</v>
      </c>
      <c r="D196" s="19">
        <v>2</v>
      </c>
      <c r="E196" s="19">
        <v>31.4</v>
      </c>
      <c r="F196" s="19"/>
      <c r="G196" s="7" t="s">
        <v>147</v>
      </c>
    </row>
    <row r="197" spans="1:7" s="14" customFormat="1" x14ac:dyDescent="0.2">
      <c r="A197" s="14" t="s">
        <v>229</v>
      </c>
      <c r="B197" s="14">
        <v>72217</v>
      </c>
      <c r="C197" s="19"/>
      <c r="D197" s="19">
        <v>2</v>
      </c>
      <c r="E197" s="19">
        <v>40.14</v>
      </c>
      <c r="F197" s="19"/>
      <c r="G197" s="9" t="s">
        <v>69</v>
      </c>
    </row>
    <row r="198" spans="1:7" s="14" customFormat="1" x14ac:dyDescent="0.2">
      <c r="A198" s="14" t="s">
        <v>262</v>
      </c>
      <c r="B198" s="14">
        <v>72217</v>
      </c>
      <c r="C198" s="19"/>
      <c r="D198" s="19">
        <v>4</v>
      </c>
      <c r="E198" s="19"/>
      <c r="F198" s="19"/>
      <c r="G198" s="9" t="s">
        <v>263</v>
      </c>
    </row>
    <row r="199" spans="1:7" s="14" customFormat="1" x14ac:dyDescent="0.2">
      <c r="A199" s="14" t="s">
        <v>262</v>
      </c>
      <c r="B199" s="14">
        <v>72217</v>
      </c>
      <c r="C199" s="19"/>
      <c r="D199" s="19">
        <v>4</v>
      </c>
      <c r="E199" s="19"/>
      <c r="F199" s="19"/>
      <c r="G199" s="9" t="s">
        <v>261</v>
      </c>
    </row>
    <row r="200" spans="1:7" s="14" customFormat="1" x14ac:dyDescent="0.2">
      <c r="A200" s="14" t="s">
        <v>262</v>
      </c>
      <c r="B200" s="14">
        <v>72217</v>
      </c>
      <c r="C200" s="19">
        <v>538</v>
      </c>
      <c r="D200" s="19">
        <v>2</v>
      </c>
      <c r="E200" s="19">
        <v>36.770000000000003</v>
      </c>
      <c r="F200" s="19"/>
      <c r="G200" s="9" t="s">
        <v>67</v>
      </c>
    </row>
    <row r="201" spans="1:7" s="14" customFormat="1" x14ac:dyDescent="0.2">
      <c r="A201" s="14" t="s">
        <v>262</v>
      </c>
      <c r="B201" s="14">
        <v>72217</v>
      </c>
      <c r="C201" s="19" t="s">
        <v>271</v>
      </c>
      <c r="D201" s="19">
        <v>2</v>
      </c>
      <c r="E201" s="19">
        <v>38.04</v>
      </c>
      <c r="F201" s="19"/>
      <c r="G201" s="7" t="s">
        <v>146</v>
      </c>
    </row>
    <row r="202" spans="1:7" s="14" customFormat="1" x14ac:dyDescent="0.2">
      <c r="A202" s="14" t="s">
        <v>262</v>
      </c>
      <c r="B202" s="14">
        <v>72217</v>
      </c>
      <c r="C202" s="19">
        <v>539</v>
      </c>
      <c r="D202" s="19">
        <v>2</v>
      </c>
      <c r="E202" s="19">
        <v>36.03</v>
      </c>
      <c r="F202" s="19"/>
      <c r="G202" s="9" t="s">
        <v>66</v>
      </c>
    </row>
    <row r="203" spans="1:7" s="14" customFormat="1" x14ac:dyDescent="0.2">
      <c r="A203" s="14" t="s">
        <v>262</v>
      </c>
      <c r="B203" s="14">
        <v>72217</v>
      </c>
      <c r="C203" s="19">
        <v>7</v>
      </c>
      <c r="D203" s="19">
        <v>4</v>
      </c>
      <c r="E203" s="19"/>
      <c r="F203" s="19"/>
      <c r="G203" s="9" t="s">
        <v>70</v>
      </c>
    </row>
    <row r="204" spans="1:7" s="14" customFormat="1" x14ac:dyDescent="0.2">
      <c r="A204" s="14" t="s">
        <v>262</v>
      </c>
      <c r="B204" s="14">
        <v>72217</v>
      </c>
      <c r="C204" s="19">
        <v>189</v>
      </c>
      <c r="D204" s="19">
        <v>4</v>
      </c>
      <c r="E204" s="19">
        <v>128.54</v>
      </c>
      <c r="F204" s="19"/>
      <c r="G204" s="9" t="s">
        <v>72</v>
      </c>
    </row>
    <row r="205" spans="1:7" s="14" customFormat="1" x14ac:dyDescent="0.2">
      <c r="A205" s="14" t="s">
        <v>262</v>
      </c>
      <c r="B205" s="14">
        <v>72217</v>
      </c>
      <c r="C205" s="19"/>
      <c r="D205" s="19">
        <v>2</v>
      </c>
      <c r="E205" s="19">
        <v>37.83</v>
      </c>
      <c r="F205" s="19"/>
      <c r="G205" s="9" t="s">
        <v>137</v>
      </c>
    </row>
    <row r="206" spans="1:7" s="14" customFormat="1" x14ac:dyDescent="0.2">
      <c r="A206" s="14" t="s">
        <v>262</v>
      </c>
      <c r="B206" s="14">
        <v>72217</v>
      </c>
      <c r="C206" s="19" t="s">
        <v>272</v>
      </c>
      <c r="D206" s="19">
        <v>2</v>
      </c>
      <c r="E206" s="19">
        <v>37.03</v>
      </c>
      <c r="F206" s="19"/>
      <c r="G206" s="7" t="s">
        <v>147</v>
      </c>
    </row>
    <row r="207" spans="1:7" s="14" customFormat="1" x14ac:dyDescent="0.2">
      <c r="A207" s="14" t="s">
        <v>262</v>
      </c>
      <c r="B207" s="14">
        <v>72217</v>
      </c>
      <c r="C207" s="19"/>
      <c r="D207" s="19">
        <v>2</v>
      </c>
      <c r="E207" s="19">
        <v>40.21</v>
      </c>
      <c r="F207" s="19"/>
      <c r="G207" s="9" t="s">
        <v>69</v>
      </c>
    </row>
    <row r="208" spans="1:7" x14ac:dyDescent="0.2">
      <c r="A208" s="14" t="s">
        <v>332</v>
      </c>
      <c r="B208" s="14">
        <v>72517</v>
      </c>
      <c r="D208" s="16">
        <v>49</v>
      </c>
      <c r="E208" s="16">
        <v>41.36</v>
      </c>
      <c r="G208" s="9" t="s">
        <v>69</v>
      </c>
    </row>
    <row r="209" spans="1:7" x14ac:dyDescent="0.2">
      <c r="A209" s="14" t="s">
        <v>332</v>
      </c>
      <c r="B209" s="14">
        <v>72517</v>
      </c>
      <c r="C209" s="16">
        <v>528</v>
      </c>
      <c r="D209" s="16">
        <v>32</v>
      </c>
      <c r="E209" s="16">
        <v>35.03</v>
      </c>
      <c r="G209" s="16" t="s">
        <v>67</v>
      </c>
    </row>
    <row r="210" spans="1:7" x14ac:dyDescent="0.2">
      <c r="A210" s="14" t="s">
        <v>332</v>
      </c>
      <c r="B210" s="14">
        <v>72517</v>
      </c>
      <c r="C210" s="16">
        <v>17.18</v>
      </c>
      <c r="D210" s="16">
        <v>31</v>
      </c>
      <c r="E210" s="16">
        <v>36.99</v>
      </c>
      <c r="G210" s="9" t="s">
        <v>137</v>
      </c>
    </row>
    <row r="211" spans="1:7" x14ac:dyDescent="0.2">
      <c r="A211" s="14" t="s">
        <v>333</v>
      </c>
      <c r="B211" s="14">
        <v>72517</v>
      </c>
      <c r="D211" s="16">
        <f>13+6</f>
        <v>19</v>
      </c>
      <c r="E211" s="16">
        <v>41.83</v>
      </c>
      <c r="G211" s="9" t="s">
        <v>69</v>
      </c>
    </row>
    <row r="212" spans="1:7" x14ac:dyDescent="0.2">
      <c r="A212" s="14" t="s">
        <v>333</v>
      </c>
      <c r="B212" s="14">
        <v>72517</v>
      </c>
      <c r="C212" s="16">
        <v>785</v>
      </c>
      <c r="D212" s="16">
        <v>14</v>
      </c>
      <c r="E212" s="16">
        <v>35.74</v>
      </c>
      <c r="G212" s="9" t="s">
        <v>67</v>
      </c>
    </row>
    <row r="213" spans="1:7" x14ac:dyDescent="0.2">
      <c r="A213" s="14" t="s">
        <v>333</v>
      </c>
      <c r="B213" s="14">
        <v>72517</v>
      </c>
      <c r="C213" s="16" t="s">
        <v>334</v>
      </c>
      <c r="D213" s="16">
        <v>22</v>
      </c>
      <c r="E213" s="16">
        <v>37.4</v>
      </c>
      <c r="G213" s="9" t="s">
        <v>137</v>
      </c>
    </row>
    <row r="214" spans="1:7" x14ac:dyDescent="0.2">
      <c r="A214" s="14" t="s">
        <v>335</v>
      </c>
      <c r="B214" s="14">
        <v>72517</v>
      </c>
      <c r="D214" s="16">
        <f>19+42</f>
        <v>61</v>
      </c>
      <c r="E214" s="16">
        <v>41.33</v>
      </c>
      <c r="G214" s="9" t="s">
        <v>69</v>
      </c>
    </row>
    <row r="215" spans="1:7" x14ac:dyDescent="0.2">
      <c r="A215" s="14" t="s">
        <v>335</v>
      </c>
      <c r="B215" s="14">
        <v>72517</v>
      </c>
      <c r="C215" s="16" t="s">
        <v>336</v>
      </c>
      <c r="D215" s="16">
        <v>37</v>
      </c>
      <c r="E215" s="16">
        <v>37.880000000000003</v>
      </c>
      <c r="G215" s="9" t="s">
        <v>67</v>
      </c>
    </row>
    <row r="216" spans="1:7" x14ac:dyDescent="0.2">
      <c r="A216" s="14" t="s">
        <v>335</v>
      </c>
      <c r="B216" s="14">
        <v>72517</v>
      </c>
      <c r="C216" s="16" t="s">
        <v>337</v>
      </c>
      <c r="D216" s="16">
        <v>40</v>
      </c>
      <c r="E216" s="16">
        <v>37.31</v>
      </c>
      <c r="G216" s="9" t="s">
        <v>137</v>
      </c>
    </row>
    <row r="217" spans="1:7" x14ac:dyDescent="0.2">
      <c r="A217" s="14" t="s">
        <v>338</v>
      </c>
      <c r="B217" s="14">
        <v>72517</v>
      </c>
      <c r="D217" s="16">
        <v>26</v>
      </c>
      <c r="E217" s="16">
        <v>42.8</v>
      </c>
      <c r="G217" s="9" t="s">
        <v>69</v>
      </c>
    </row>
    <row r="218" spans="1:7" x14ac:dyDescent="0.2">
      <c r="A218" s="14" t="s">
        <v>338</v>
      </c>
      <c r="B218" s="14">
        <v>72517</v>
      </c>
      <c r="C218" s="16">
        <v>517</v>
      </c>
      <c r="D218" s="16">
        <v>11</v>
      </c>
      <c r="E218" s="16">
        <v>36.58</v>
      </c>
      <c r="G218" s="9" t="s">
        <v>67</v>
      </c>
    </row>
    <row r="219" spans="1:7" x14ac:dyDescent="0.2">
      <c r="A219" s="14" t="s">
        <v>338</v>
      </c>
      <c r="B219" s="14">
        <v>72517</v>
      </c>
      <c r="C219" s="16" t="s">
        <v>339</v>
      </c>
      <c r="D219" s="16">
        <v>18</v>
      </c>
      <c r="E219" s="16">
        <v>37.549999999999997</v>
      </c>
      <c r="G219" s="9" t="s">
        <v>137</v>
      </c>
    </row>
    <row r="220" spans="1:7" x14ac:dyDescent="0.2">
      <c r="A220" s="14" t="s">
        <v>340</v>
      </c>
      <c r="B220" s="14">
        <v>72517</v>
      </c>
      <c r="D220" s="16">
        <v>36</v>
      </c>
      <c r="E220" s="16">
        <v>39.97</v>
      </c>
      <c r="G220" s="9" t="s">
        <v>69</v>
      </c>
    </row>
    <row r="221" spans="1:7" x14ac:dyDescent="0.2">
      <c r="A221" s="14" t="s">
        <v>340</v>
      </c>
      <c r="B221" s="14">
        <v>72517</v>
      </c>
      <c r="C221" s="16">
        <v>718</v>
      </c>
      <c r="D221" s="16">
        <v>34</v>
      </c>
      <c r="E221" s="16">
        <v>36.200000000000003</v>
      </c>
      <c r="G221" s="9" t="s">
        <v>67</v>
      </c>
    </row>
    <row r="222" spans="1:7" x14ac:dyDescent="0.2">
      <c r="A222" s="14" t="s">
        <v>340</v>
      </c>
      <c r="B222" s="14">
        <v>72517</v>
      </c>
      <c r="C222" s="16" t="s">
        <v>341</v>
      </c>
      <c r="D222" s="16">
        <v>37</v>
      </c>
      <c r="E222" s="16">
        <v>38.799999999999997</v>
      </c>
      <c r="G222" s="9" t="s">
        <v>137</v>
      </c>
    </row>
    <row r="223" spans="1:7" x14ac:dyDescent="0.2">
      <c r="A223" s="14" t="s">
        <v>342</v>
      </c>
      <c r="B223" s="14">
        <v>72517</v>
      </c>
      <c r="D223" s="16">
        <v>48</v>
      </c>
      <c r="E223" s="16">
        <v>41.56</v>
      </c>
      <c r="G223" s="9" t="s">
        <v>69</v>
      </c>
    </row>
    <row r="224" spans="1:7" x14ac:dyDescent="0.2">
      <c r="A224" s="14" t="s">
        <v>342</v>
      </c>
      <c r="B224" s="14">
        <v>72517</v>
      </c>
      <c r="C224" s="16">
        <v>760</v>
      </c>
      <c r="D224" s="16">
        <v>31</v>
      </c>
      <c r="E224" s="16">
        <v>25.57</v>
      </c>
      <c r="G224" s="9" t="s">
        <v>67</v>
      </c>
    </row>
    <row r="225" spans="1:7" x14ac:dyDescent="0.2">
      <c r="A225" s="14" t="s">
        <v>342</v>
      </c>
      <c r="B225" s="14">
        <v>72517</v>
      </c>
      <c r="C225" s="16" t="s">
        <v>343</v>
      </c>
      <c r="D225" s="16">
        <v>36</v>
      </c>
      <c r="E225" s="16">
        <v>37.47</v>
      </c>
      <c r="G225" s="9" t="s">
        <v>137</v>
      </c>
    </row>
    <row r="226" spans="1:7" x14ac:dyDescent="0.2">
      <c r="A226" s="14" t="s">
        <v>338</v>
      </c>
      <c r="B226" s="14">
        <v>72517</v>
      </c>
      <c r="C226" s="16">
        <v>717</v>
      </c>
      <c r="D226" s="16">
        <v>17</v>
      </c>
      <c r="E226" s="16">
        <v>36.03</v>
      </c>
      <c r="G226" s="9" t="s">
        <v>66</v>
      </c>
    </row>
    <row r="227" spans="1:7" x14ac:dyDescent="0.2">
      <c r="A227" s="14" t="s">
        <v>338</v>
      </c>
      <c r="B227" s="14">
        <v>72517</v>
      </c>
      <c r="C227" s="16">
        <v>68</v>
      </c>
      <c r="D227" s="16">
        <v>23</v>
      </c>
      <c r="E227" s="16" t="s">
        <v>106</v>
      </c>
      <c r="G227" s="9" t="s">
        <v>70</v>
      </c>
    </row>
    <row r="228" spans="1:7" x14ac:dyDescent="0.2">
      <c r="A228" s="14" t="s">
        <v>338</v>
      </c>
      <c r="B228" s="14">
        <v>72517</v>
      </c>
      <c r="C228" s="16">
        <v>164</v>
      </c>
      <c r="D228" s="16">
        <v>23</v>
      </c>
      <c r="E228" s="16">
        <v>127.09</v>
      </c>
      <c r="G228" s="9" t="s">
        <v>72</v>
      </c>
    </row>
    <row r="229" spans="1:7" x14ac:dyDescent="0.2">
      <c r="A229" s="14" t="s">
        <v>335</v>
      </c>
      <c r="B229" s="14">
        <v>72517</v>
      </c>
      <c r="C229" s="16">
        <v>769</v>
      </c>
      <c r="D229" s="16">
        <v>42</v>
      </c>
      <c r="E229" s="16">
        <v>36.4</v>
      </c>
      <c r="G229" s="9" t="s">
        <v>66</v>
      </c>
    </row>
    <row r="230" spans="1:7" x14ac:dyDescent="0.2">
      <c r="A230" s="14" t="s">
        <v>340</v>
      </c>
      <c r="B230" s="14">
        <v>72517</v>
      </c>
      <c r="C230" s="16">
        <v>529</v>
      </c>
      <c r="D230" s="16">
        <v>29</v>
      </c>
      <c r="E230" s="16">
        <v>34.729999999999997</v>
      </c>
      <c r="G230" s="16" t="s">
        <v>66</v>
      </c>
    </row>
    <row r="231" spans="1:7" x14ac:dyDescent="0.2">
      <c r="A231" s="14" t="s">
        <v>333</v>
      </c>
      <c r="B231" s="14">
        <v>72517</v>
      </c>
      <c r="C231" s="16">
        <v>518</v>
      </c>
      <c r="D231" s="16">
        <v>18</v>
      </c>
      <c r="E231" s="16">
        <v>35.83</v>
      </c>
      <c r="G231" s="16" t="s">
        <v>66</v>
      </c>
    </row>
    <row r="232" spans="1:7" x14ac:dyDescent="0.2">
      <c r="A232" s="14" t="s">
        <v>332</v>
      </c>
      <c r="B232" s="14">
        <v>72517</v>
      </c>
      <c r="C232" s="16">
        <v>537</v>
      </c>
      <c r="D232" s="16">
        <v>33</v>
      </c>
      <c r="E232" s="16">
        <v>36.869999999999997</v>
      </c>
      <c r="G232" s="16" t="s">
        <v>66</v>
      </c>
    </row>
    <row r="233" spans="1:7" x14ac:dyDescent="0.2">
      <c r="A233" s="14" t="s">
        <v>342</v>
      </c>
      <c r="B233" s="14">
        <v>72517</v>
      </c>
      <c r="C233" s="16">
        <v>786</v>
      </c>
      <c r="D233" s="16">
        <v>18</v>
      </c>
      <c r="E233" s="16">
        <v>34.869999999999997</v>
      </c>
      <c r="G233" s="16" t="s">
        <v>66</v>
      </c>
    </row>
    <row r="234" spans="1:7" x14ac:dyDescent="0.2">
      <c r="A234" s="14" t="s">
        <v>335</v>
      </c>
      <c r="B234" s="14">
        <v>72517</v>
      </c>
      <c r="C234" s="16">
        <v>824</v>
      </c>
      <c r="D234" s="16">
        <f>48+34</f>
        <v>82</v>
      </c>
      <c r="E234" s="16">
        <v>140.09</v>
      </c>
      <c r="G234" s="16" t="s">
        <v>72</v>
      </c>
    </row>
    <row r="235" spans="1:7" x14ac:dyDescent="0.2">
      <c r="A235" s="14" t="s">
        <v>340</v>
      </c>
      <c r="B235" s="14">
        <v>72517</v>
      </c>
      <c r="C235" s="16">
        <v>167</v>
      </c>
      <c r="D235" s="16">
        <v>45</v>
      </c>
      <c r="E235" s="16">
        <v>124.06</v>
      </c>
      <c r="G235" s="16" t="s">
        <v>72</v>
      </c>
    </row>
    <row r="236" spans="1:7" x14ac:dyDescent="0.2">
      <c r="A236" s="14" t="s">
        <v>333</v>
      </c>
      <c r="B236" s="14">
        <v>72517</v>
      </c>
      <c r="C236" s="16">
        <v>173</v>
      </c>
      <c r="D236" s="16">
        <v>26</v>
      </c>
      <c r="E236" s="16">
        <v>125.49</v>
      </c>
      <c r="G236" s="16" t="s">
        <v>72</v>
      </c>
    </row>
    <row r="237" spans="1:7" x14ac:dyDescent="0.2">
      <c r="A237" s="14" t="s">
        <v>332</v>
      </c>
      <c r="B237" s="14">
        <v>72517</v>
      </c>
      <c r="D237" s="16">
        <v>33</v>
      </c>
      <c r="G237" s="16" t="s">
        <v>72</v>
      </c>
    </row>
    <row r="238" spans="1:7" x14ac:dyDescent="0.2">
      <c r="A238" s="14" t="s">
        <v>342</v>
      </c>
      <c r="B238" s="14">
        <v>72517</v>
      </c>
      <c r="D238" s="16">
        <v>20</v>
      </c>
      <c r="G238" s="16" t="s">
        <v>72</v>
      </c>
    </row>
    <row r="239" spans="1:7" x14ac:dyDescent="0.2">
      <c r="A239" s="14" t="s">
        <v>335</v>
      </c>
      <c r="B239" s="14">
        <v>72517</v>
      </c>
      <c r="C239" s="16">
        <v>14</v>
      </c>
      <c r="D239" s="16">
        <f>50+16+26</f>
        <v>92</v>
      </c>
      <c r="G239" s="16" t="s">
        <v>70</v>
      </c>
    </row>
    <row r="240" spans="1:7" x14ac:dyDescent="0.2">
      <c r="A240" s="14" t="s">
        <v>340</v>
      </c>
      <c r="B240" s="14">
        <v>72517</v>
      </c>
      <c r="C240" s="16">
        <v>72</v>
      </c>
      <c r="D240" s="16">
        <v>47</v>
      </c>
      <c r="G240" s="16" t="s">
        <v>70</v>
      </c>
    </row>
    <row r="241" spans="1:7" x14ac:dyDescent="0.2">
      <c r="A241" s="14" t="s">
        <v>333</v>
      </c>
      <c r="B241" s="14">
        <v>72517</v>
      </c>
      <c r="C241" s="16">
        <v>95</v>
      </c>
      <c r="D241" s="16">
        <v>27</v>
      </c>
      <c r="G241" s="16" t="s">
        <v>70</v>
      </c>
    </row>
    <row r="242" spans="1:7" x14ac:dyDescent="0.2">
      <c r="A242" s="14" t="s">
        <v>332</v>
      </c>
      <c r="B242" s="14">
        <v>72517</v>
      </c>
      <c r="C242" s="16">
        <v>80</v>
      </c>
      <c r="D242" s="16">
        <v>36</v>
      </c>
      <c r="G242" s="16" t="s">
        <v>70</v>
      </c>
    </row>
    <row r="243" spans="1:7" x14ac:dyDescent="0.2">
      <c r="A243" s="14" t="s">
        <v>342</v>
      </c>
      <c r="B243" s="14">
        <v>72517</v>
      </c>
      <c r="C243" s="16">
        <v>99</v>
      </c>
      <c r="D243" s="16">
        <v>22</v>
      </c>
      <c r="G243" s="16" t="s">
        <v>70</v>
      </c>
    </row>
    <row r="244" spans="1:7" x14ac:dyDescent="0.2">
      <c r="A244" s="14" t="s">
        <v>39</v>
      </c>
      <c r="B244" s="14">
        <v>72717</v>
      </c>
      <c r="D244" s="16">
        <f>250+290</f>
        <v>540</v>
      </c>
      <c r="G244" s="16" t="s">
        <v>67</v>
      </c>
    </row>
    <row r="245" spans="1:7" x14ac:dyDescent="0.2">
      <c r="A245" s="14" t="s">
        <v>344</v>
      </c>
      <c r="B245" s="14">
        <v>72717</v>
      </c>
      <c r="D245" s="16">
        <f>265+250</f>
        <v>515</v>
      </c>
      <c r="G245" s="16" t="s">
        <v>67</v>
      </c>
    </row>
    <row r="246" spans="1:7" x14ac:dyDescent="0.2">
      <c r="A246" s="14" t="s">
        <v>345</v>
      </c>
      <c r="B246" s="14">
        <v>72717</v>
      </c>
      <c r="D246" s="16">
        <v>5</v>
      </c>
      <c r="G246" s="16" t="s">
        <v>67</v>
      </c>
    </row>
    <row r="247" spans="1:7" x14ac:dyDescent="0.2">
      <c r="A247" s="14" t="s">
        <v>345</v>
      </c>
      <c r="B247" s="14">
        <v>72717</v>
      </c>
      <c r="D247" s="16">
        <v>5</v>
      </c>
      <c r="G247" s="16" t="s">
        <v>137</v>
      </c>
    </row>
    <row r="248" spans="1:7" x14ac:dyDescent="0.2">
      <c r="A248" s="14" t="s">
        <v>345</v>
      </c>
      <c r="B248" s="14">
        <v>72717</v>
      </c>
      <c r="D248" s="16">
        <v>5</v>
      </c>
      <c r="G248" s="16" t="s">
        <v>66</v>
      </c>
    </row>
    <row r="249" spans="1:7" x14ac:dyDescent="0.2">
      <c r="A249" s="14" t="s">
        <v>345</v>
      </c>
      <c r="B249" s="14">
        <v>72717</v>
      </c>
      <c r="D249" s="16">
        <f>5+5</f>
        <v>10</v>
      </c>
      <c r="E249" s="16">
        <v>40.92</v>
      </c>
      <c r="G249" s="16" t="s">
        <v>69</v>
      </c>
    </row>
    <row r="250" spans="1:7" x14ac:dyDescent="0.2">
      <c r="A250" s="14" t="s">
        <v>347</v>
      </c>
      <c r="B250" s="14">
        <v>72717</v>
      </c>
      <c r="C250" s="16" t="s">
        <v>346</v>
      </c>
      <c r="D250" s="16">
        <v>10</v>
      </c>
      <c r="E250" s="16">
        <v>38.630000000000003</v>
      </c>
      <c r="G250" s="16" t="s">
        <v>67</v>
      </c>
    </row>
    <row r="251" spans="1:7" x14ac:dyDescent="0.2">
      <c r="A251" s="14" t="s">
        <v>347</v>
      </c>
      <c r="B251" s="14">
        <v>72717</v>
      </c>
      <c r="C251" s="16" t="s">
        <v>348</v>
      </c>
      <c r="D251" s="16">
        <v>10</v>
      </c>
      <c r="E251" s="16">
        <v>38.36</v>
      </c>
      <c r="G251" s="16" t="s">
        <v>137</v>
      </c>
    </row>
    <row r="252" spans="1:7" x14ac:dyDescent="0.2">
      <c r="A252" s="14" t="s">
        <v>347</v>
      </c>
      <c r="B252" s="14">
        <v>72717</v>
      </c>
      <c r="C252" s="16">
        <v>520</v>
      </c>
      <c r="D252" s="16">
        <v>10</v>
      </c>
      <c r="E252" s="16">
        <v>36.479999999999997</v>
      </c>
      <c r="G252" s="16" t="s">
        <v>66</v>
      </c>
    </row>
    <row r="253" spans="1:7" x14ac:dyDescent="0.2">
      <c r="A253" s="14" t="s">
        <v>347</v>
      </c>
      <c r="B253" s="14">
        <v>72717</v>
      </c>
      <c r="D253" s="16">
        <v>10</v>
      </c>
      <c r="E253" s="16">
        <v>41.57</v>
      </c>
      <c r="G253" s="16" t="s">
        <v>69</v>
      </c>
    </row>
    <row r="254" spans="1:7" x14ac:dyDescent="0.2">
      <c r="A254" s="14" t="s">
        <v>349</v>
      </c>
      <c r="B254" s="14">
        <v>72717</v>
      </c>
      <c r="D254" s="16">
        <v>5</v>
      </c>
      <c r="G254" s="16" t="s">
        <v>67</v>
      </c>
    </row>
    <row r="255" spans="1:7" x14ac:dyDescent="0.2">
      <c r="A255" s="14" t="s">
        <v>349</v>
      </c>
      <c r="B255" s="14">
        <v>72717</v>
      </c>
      <c r="D255" s="16">
        <v>5</v>
      </c>
      <c r="G255" s="16" t="s">
        <v>137</v>
      </c>
    </row>
    <row r="256" spans="1:7" x14ac:dyDescent="0.2">
      <c r="A256" s="14" t="s">
        <v>349</v>
      </c>
      <c r="B256" s="14">
        <v>72717</v>
      </c>
      <c r="D256" s="16">
        <v>5</v>
      </c>
      <c r="G256" s="16" t="s">
        <v>66</v>
      </c>
    </row>
    <row r="257" spans="1:7" x14ac:dyDescent="0.2">
      <c r="A257" s="14" t="s">
        <v>349</v>
      </c>
      <c r="B257" s="14">
        <v>72717</v>
      </c>
      <c r="C257" s="16">
        <v>96</v>
      </c>
      <c r="D257" s="16">
        <v>10</v>
      </c>
      <c r="G257" s="16" t="s">
        <v>70</v>
      </c>
    </row>
    <row r="258" spans="1:7" x14ac:dyDescent="0.2">
      <c r="A258" s="14" t="s">
        <v>349</v>
      </c>
      <c r="B258" s="14">
        <v>72717</v>
      </c>
      <c r="C258" s="16">
        <v>172</v>
      </c>
      <c r="D258" s="16">
        <v>10</v>
      </c>
      <c r="E258" s="16">
        <v>127.51</v>
      </c>
      <c r="G258" s="16" t="s">
        <v>72</v>
      </c>
    </row>
    <row r="259" spans="1:7" x14ac:dyDescent="0.2">
      <c r="A259" s="14" t="s">
        <v>349</v>
      </c>
      <c r="B259" s="14">
        <v>72717</v>
      </c>
      <c r="D259" s="16">
        <v>10</v>
      </c>
      <c r="G259" s="16" t="s">
        <v>68</v>
      </c>
    </row>
    <row r="260" spans="1:7" x14ac:dyDescent="0.2">
      <c r="A260" s="14" t="s">
        <v>347</v>
      </c>
      <c r="B260" s="14">
        <v>72717</v>
      </c>
      <c r="C260" s="16">
        <v>42</v>
      </c>
      <c r="D260" s="16">
        <v>26</v>
      </c>
      <c r="G260" s="16" t="s">
        <v>70</v>
      </c>
    </row>
    <row r="261" spans="1:7" x14ac:dyDescent="0.2">
      <c r="A261" s="14" t="s">
        <v>347</v>
      </c>
      <c r="B261" s="14">
        <v>72717</v>
      </c>
      <c r="C261" s="16">
        <v>155</v>
      </c>
      <c r="D261" s="16">
        <v>24</v>
      </c>
      <c r="E261" s="16">
        <v>127.23</v>
      </c>
      <c r="G261" s="16" t="s">
        <v>72</v>
      </c>
    </row>
    <row r="262" spans="1:7" x14ac:dyDescent="0.2">
      <c r="A262" s="14" t="s">
        <v>347</v>
      </c>
      <c r="B262" s="14">
        <v>72717</v>
      </c>
      <c r="D262" s="16">
        <v>24</v>
      </c>
      <c r="G262" s="16" t="s">
        <v>68</v>
      </c>
    </row>
    <row r="263" spans="1:7" x14ac:dyDescent="0.2">
      <c r="A263" s="14" t="s">
        <v>345</v>
      </c>
      <c r="B263" s="14">
        <v>72717</v>
      </c>
      <c r="C263" s="16">
        <v>209</v>
      </c>
      <c r="D263" s="16">
        <v>20</v>
      </c>
      <c r="E263" s="16">
        <v>131.16999999999999</v>
      </c>
      <c r="G263" s="16" t="s">
        <v>72</v>
      </c>
    </row>
    <row r="264" spans="1:7" x14ac:dyDescent="0.2">
      <c r="A264" s="14" t="s">
        <v>345</v>
      </c>
      <c r="B264" s="14">
        <v>72717</v>
      </c>
      <c r="C264" s="16">
        <v>192</v>
      </c>
      <c r="D264" s="16">
        <v>21</v>
      </c>
      <c r="G264" s="16" t="s">
        <v>70</v>
      </c>
    </row>
    <row r="265" spans="1:7" x14ac:dyDescent="0.2">
      <c r="A265" s="14" t="s">
        <v>345</v>
      </c>
      <c r="B265" s="14">
        <v>72717</v>
      </c>
      <c r="D265" s="16">
        <v>22</v>
      </c>
      <c r="G265" s="16" t="s">
        <v>68</v>
      </c>
    </row>
    <row r="266" spans="1:7" x14ac:dyDescent="0.2">
      <c r="A266" s="14" t="s">
        <v>280</v>
      </c>
      <c r="B266">
        <v>72917</v>
      </c>
      <c r="D266" s="16">
        <f>500+500</f>
        <v>1000</v>
      </c>
      <c r="G266" s="16" t="s">
        <v>67</v>
      </c>
    </row>
    <row r="267" spans="1:7" x14ac:dyDescent="0.2">
      <c r="A267" s="14" t="s">
        <v>280</v>
      </c>
      <c r="B267">
        <v>72917</v>
      </c>
      <c r="D267" s="16">
        <f>500+495+500</f>
        <v>1495</v>
      </c>
      <c r="G267" s="16" t="s">
        <v>137</v>
      </c>
    </row>
    <row r="268" spans="1:7" x14ac:dyDescent="0.2">
      <c r="A268" s="14" t="s">
        <v>280</v>
      </c>
      <c r="B268">
        <v>72917</v>
      </c>
      <c r="D268" s="16">
        <f>500+500</f>
        <v>1000</v>
      </c>
      <c r="E268" s="16">
        <v>31.78</v>
      </c>
      <c r="G268" s="16" t="s">
        <v>66</v>
      </c>
    </row>
    <row r="269" spans="1:7" x14ac:dyDescent="0.2">
      <c r="A269" s="14" t="s">
        <v>280</v>
      </c>
      <c r="B269">
        <v>72917</v>
      </c>
      <c r="D269" s="16">
        <f>500+500+360</f>
        <v>1360</v>
      </c>
      <c r="G269" s="16" t="s">
        <v>69</v>
      </c>
    </row>
    <row r="270" spans="1:7" x14ac:dyDescent="0.2">
      <c r="A270" s="14" t="s">
        <v>280</v>
      </c>
      <c r="B270">
        <v>72917</v>
      </c>
      <c r="D270" s="16">
        <f>500+500+500</f>
        <v>1500</v>
      </c>
      <c r="G270" s="16" t="s">
        <v>68</v>
      </c>
    </row>
    <row r="271" spans="1:7" x14ac:dyDescent="0.2">
      <c r="A271" s="14" t="s">
        <v>280</v>
      </c>
      <c r="B271">
        <v>72917</v>
      </c>
      <c r="D271" s="16">
        <f>500+500+500+500</f>
        <v>2000</v>
      </c>
      <c r="G271" s="16" t="s">
        <v>70</v>
      </c>
    </row>
    <row r="272" spans="1:7" x14ac:dyDescent="0.2">
      <c r="A272" s="14" t="s">
        <v>280</v>
      </c>
      <c r="B272">
        <v>72917</v>
      </c>
      <c r="D272" s="16">
        <f>500+500+500+500</f>
        <v>2000</v>
      </c>
      <c r="G272" s="16" t="s">
        <v>72</v>
      </c>
    </row>
    <row r="273" spans="1:8" x14ac:dyDescent="0.2">
      <c r="A273" s="14" t="s">
        <v>281</v>
      </c>
      <c r="B273">
        <v>72917</v>
      </c>
      <c r="D273" s="16">
        <f>500+500+355</f>
        <v>1355</v>
      </c>
      <c r="G273" s="16" t="s">
        <v>137</v>
      </c>
      <c r="H273" t="s">
        <v>350</v>
      </c>
    </row>
    <row r="274" spans="1:8" x14ac:dyDescent="0.2">
      <c r="A274" s="14" t="s">
        <v>281</v>
      </c>
      <c r="B274">
        <v>72917</v>
      </c>
      <c r="D274" s="16">
        <f>500+500+500</f>
        <v>1500</v>
      </c>
      <c r="G274" s="16" t="s">
        <v>68</v>
      </c>
    </row>
    <row r="275" spans="1:8" x14ac:dyDescent="0.2">
      <c r="A275" s="14" t="s">
        <v>281</v>
      </c>
      <c r="B275">
        <v>72917</v>
      </c>
      <c r="C275" s="16" t="s">
        <v>351</v>
      </c>
      <c r="D275" s="16">
        <f>500+500+345</f>
        <v>1345</v>
      </c>
      <c r="E275">
        <v>31.94</v>
      </c>
      <c r="G275" t="s">
        <v>67</v>
      </c>
    </row>
    <row r="276" spans="1:8" x14ac:dyDescent="0.2">
      <c r="A276" s="14" t="s">
        <v>281</v>
      </c>
      <c r="B276">
        <v>72917</v>
      </c>
      <c r="C276" s="16" t="s">
        <v>352</v>
      </c>
      <c r="D276" s="16">
        <f>500+500+285+230</f>
        <v>1515</v>
      </c>
      <c r="G276" s="16" t="s">
        <v>66</v>
      </c>
    </row>
    <row r="277" spans="1:8" x14ac:dyDescent="0.2">
      <c r="A277" s="14" t="s">
        <v>281</v>
      </c>
      <c r="B277">
        <v>72917</v>
      </c>
      <c r="D277" s="16">
        <f>500+500+500</f>
        <v>1500</v>
      </c>
      <c r="G277" s="16" t="s">
        <v>69</v>
      </c>
    </row>
    <row r="278" spans="1:8" x14ac:dyDescent="0.2">
      <c r="A278" s="14" t="s">
        <v>281</v>
      </c>
      <c r="B278">
        <v>72917</v>
      </c>
      <c r="D278" s="16">
        <f>500+500+500+500+500</f>
        <v>2500</v>
      </c>
      <c r="G278" s="16" t="s">
        <v>70</v>
      </c>
    </row>
    <row r="279" spans="1:8" x14ac:dyDescent="0.2">
      <c r="A279" s="14" t="s">
        <v>281</v>
      </c>
      <c r="B279">
        <v>72917</v>
      </c>
      <c r="D279" s="16">
        <f>500+500+500</f>
        <v>1500</v>
      </c>
      <c r="G279" s="16" t="s">
        <v>72</v>
      </c>
    </row>
    <row r="280" spans="1:8" x14ac:dyDescent="0.2">
      <c r="A280" s="14" t="s">
        <v>353</v>
      </c>
      <c r="B280">
        <v>73017</v>
      </c>
      <c r="C280" s="16" t="s">
        <v>354</v>
      </c>
      <c r="D280" s="16">
        <v>1</v>
      </c>
      <c r="E280" s="16">
        <v>37.549999999999997</v>
      </c>
      <c r="G280" s="16" t="s">
        <v>67</v>
      </c>
    </row>
    <row r="281" spans="1:8" x14ac:dyDescent="0.2">
      <c r="A281" s="14" t="s">
        <v>353</v>
      </c>
      <c r="B281">
        <v>73017</v>
      </c>
      <c r="C281" s="16" t="s">
        <v>355</v>
      </c>
      <c r="D281" s="16">
        <v>1</v>
      </c>
      <c r="E281" s="16">
        <v>38.08</v>
      </c>
      <c r="G281" s="16" t="s">
        <v>66</v>
      </c>
    </row>
    <row r="282" spans="1:8" x14ac:dyDescent="0.2">
      <c r="A282" s="14" t="s">
        <v>353</v>
      </c>
      <c r="B282">
        <v>73017</v>
      </c>
      <c r="C282" s="16" t="s">
        <v>356</v>
      </c>
      <c r="D282" s="16">
        <v>1</v>
      </c>
      <c r="E282" s="16">
        <v>38.72</v>
      </c>
      <c r="G282" s="16" t="s">
        <v>137</v>
      </c>
    </row>
    <row r="283" spans="1:8" x14ac:dyDescent="0.2">
      <c r="A283" s="14" t="s">
        <v>353</v>
      </c>
      <c r="B283">
        <v>73017</v>
      </c>
      <c r="D283" s="16">
        <v>1</v>
      </c>
      <c r="G283" s="16" t="s">
        <v>69</v>
      </c>
    </row>
    <row r="284" spans="1:8" x14ac:dyDescent="0.2">
      <c r="A284" s="14" t="s">
        <v>353</v>
      </c>
      <c r="B284">
        <v>73017</v>
      </c>
      <c r="D284" s="16">
        <v>3</v>
      </c>
      <c r="G284" s="16" t="s">
        <v>68</v>
      </c>
    </row>
    <row r="285" spans="1:8" x14ac:dyDescent="0.2">
      <c r="A285" s="14" t="s">
        <v>353</v>
      </c>
      <c r="B285">
        <v>73017</v>
      </c>
      <c r="D285" s="16">
        <v>3</v>
      </c>
      <c r="G285" s="16" t="s">
        <v>70</v>
      </c>
    </row>
    <row r="286" spans="1:8" x14ac:dyDescent="0.2">
      <c r="A286" s="14" t="s">
        <v>353</v>
      </c>
      <c r="B286">
        <v>73017</v>
      </c>
      <c r="D286" s="16">
        <v>3</v>
      </c>
      <c r="G286" s="16" t="s">
        <v>72</v>
      </c>
    </row>
    <row r="287" spans="1:8" x14ac:dyDescent="0.2">
      <c r="A287" s="24" t="s">
        <v>283</v>
      </c>
      <c r="B287">
        <v>73017</v>
      </c>
      <c r="D287" s="16">
        <v>19</v>
      </c>
      <c r="G287" s="16" t="s">
        <v>68</v>
      </c>
    </row>
    <row r="288" spans="1:8" x14ac:dyDescent="0.2">
      <c r="A288" s="24" t="s">
        <v>283</v>
      </c>
      <c r="B288">
        <v>73017</v>
      </c>
      <c r="D288" s="16">
        <v>18</v>
      </c>
      <c r="G288" s="16" t="s">
        <v>70</v>
      </c>
    </row>
    <row r="289" spans="1:8" x14ac:dyDescent="0.2">
      <c r="A289" s="24" t="s">
        <v>283</v>
      </c>
      <c r="B289">
        <v>73017</v>
      </c>
      <c r="D289" s="16">
        <f>21+12</f>
        <v>33</v>
      </c>
      <c r="G289" s="16" t="s">
        <v>72</v>
      </c>
    </row>
    <row r="290" spans="1:8" x14ac:dyDescent="0.2">
      <c r="A290" s="24" t="s">
        <v>283</v>
      </c>
      <c r="B290">
        <v>73017</v>
      </c>
      <c r="C290" s="16" t="s">
        <v>357</v>
      </c>
      <c r="D290" s="16">
        <v>16</v>
      </c>
      <c r="E290" s="16">
        <v>31.12</v>
      </c>
      <c r="G290" s="16" t="s">
        <v>67</v>
      </c>
    </row>
    <row r="291" spans="1:8" x14ac:dyDescent="0.2">
      <c r="A291" s="24" t="s">
        <v>283</v>
      </c>
      <c r="B291">
        <v>73017</v>
      </c>
      <c r="C291" s="16" t="s">
        <v>358</v>
      </c>
      <c r="D291" s="16">
        <v>18</v>
      </c>
      <c r="E291" s="16">
        <v>32.159999999999997</v>
      </c>
      <c r="G291" s="16" t="s">
        <v>137</v>
      </c>
    </row>
    <row r="292" spans="1:8" x14ac:dyDescent="0.2">
      <c r="A292" s="24" t="s">
        <v>283</v>
      </c>
      <c r="B292">
        <v>73017</v>
      </c>
      <c r="C292" s="16" t="s">
        <v>359</v>
      </c>
      <c r="D292" s="16">
        <v>21</v>
      </c>
      <c r="E292" s="16">
        <v>31.14</v>
      </c>
      <c r="G292" s="16" t="s">
        <v>66</v>
      </c>
    </row>
    <row r="293" spans="1:8" x14ac:dyDescent="0.2">
      <c r="A293" s="24" t="s">
        <v>283</v>
      </c>
      <c r="B293">
        <v>73017</v>
      </c>
      <c r="D293" s="16">
        <v>19</v>
      </c>
      <c r="E293" s="16">
        <v>41.59</v>
      </c>
      <c r="G293" s="16" t="s">
        <v>69</v>
      </c>
    </row>
    <row r="294" spans="1:8" x14ac:dyDescent="0.2">
      <c r="A294" t="s">
        <v>302</v>
      </c>
      <c r="B294">
        <v>80317</v>
      </c>
      <c r="C294" s="16" t="s">
        <v>360</v>
      </c>
      <c r="D294" s="16">
        <f>500+215</f>
        <v>715</v>
      </c>
      <c r="E294" s="16">
        <v>37.340000000000003</v>
      </c>
      <c r="G294" s="16" t="s">
        <v>67</v>
      </c>
    </row>
    <row r="295" spans="1:8" x14ac:dyDescent="0.2">
      <c r="A295" t="s">
        <v>302</v>
      </c>
      <c r="B295">
        <v>80317</v>
      </c>
      <c r="C295" s="16" t="s">
        <v>361</v>
      </c>
      <c r="D295" s="16">
        <f>500+205</f>
        <v>705</v>
      </c>
      <c r="E295" s="16">
        <v>37.159999999999997</v>
      </c>
      <c r="G295" s="16" t="s">
        <v>66</v>
      </c>
    </row>
    <row r="296" spans="1:8" x14ac:dyDescent="0.2">
      <c r="A296" t="s">
        <v>302</v>
      </c>
      <c r="B296">
        <v>80317</v>
      </c>
      <c r="C296" s="16" t="s">
        <v>362</v>
      </c>
      <c r="D296" s="16">
        <f>500+135</f>
        <v>635</v>
      </c>
      <c r="E296" s="16">
        <v>38.33</v>
      </c>
      <c r="G296" s="16" t="s">
        <v>137</v>
      </c>
    </row>
    <row r="297" spans="1:8" x14ac:dyDescent="0.2">
      <c r="A297" t="s">
        <v>302</v>
      </c>
      <c r="B297">
        <v>80317</v>
      </c>
      <c r="D297" s="16">
        <f>500+500+330+255+330</f>
        <v>1915</v>
      </c>
      <c r="E297" s="16">
        <v>41.16</v>
      </c>
      <c r="G297" s="16" t="s">
        <v>69</v>
      </c>
    </row>
    <row r="298" spans="1:8" x14ac:dyDescent="0.2">
      <c r="A298" t="s">
        <v>363</v>
      </c>
      <c r="B298">
        <v>80317</v>
      </c>
      <c r="C298" s="16" t="s">
        <v>364</v>
      </c>
      <c r="D298" s="16">
        <f>500+500+500+500+500+500+500</f>
        <v>3500</v>
      </c>
      <c r="E298" s="16">
        <v>31.54</v>
      </c>
      <c r="G298" s="16" t="s">
        <v>67</v>
      </c>
    </row>
    <row r="299" spans="1:8" x14ac:dyDescent="0.2">
      <c r="A299" t="s">
        <v>363</v>
      </c>
      <c r="B299">
        <v>80317</v>
      </c>
      <c r="D299" s="16">
        <f>500+500+500+500+500+500+500+500+500+500+500+500</f>
        <v>6000</v>
      </c>
      <c r="G299" s="16" t="s">
        <v>137</v>
      </c>
    </row>
    <row r="300" spans="1:8" x14ac:dyDescent="0.2">
      <c r="A300" t="s">
        <v>363</v>
      </c>
      <c r="B300">
        <v>80317</v>
      </c>
      <c r="D300" s="16">
        <f>500+500+500+500+115</f>
        <v>2115</v>
      </c>
      <c r="G300" s="16" t="s">
        <v>68</v>
      </c>
    </row>
    <row r="301" spans="1:8" x14ac:dyDescent="0.2">
      <c r="A301" t="s">
        <v>302</v>
      </c>
      <c r="B301">
        <v>80317</v>
      </c>
      <c r="D301" s="16">
        <f>500+500+500+500</f>
        <v>2000</v>
      </c>
      <c r="G301" s="16" t="s">
        <v>72</v>
      </c>
      <c r="H301" t="s">
        <v>365</v>
      </c>
    </row>
    <row r="302" spans="1:8" x14ac:dyDescent="0.2">
      <c r="A302" t="s">
        <v>302</v>
      </c>
      <c r="B302">
        <v>80317</v>
      </c>
      <c r="D302" s="16">
        <f>500+500+500+500</f>
        <v>2000</v>
      </c>
      <c r="G302" s="16" t="s">
        <v>70</v>
      </c>
    </row>
    <row r="303" spans="1:8" x14ac:dyDescent="0.2">
      <c r="A303" t="s">
        <v>302</v>
      </c>
      <c r="B303">
        <v>80317</v>
      </c>
      <c r="D303" s="16">
        <f>500+500+500</f>
        <v>1500</v>
      </c>
      <c r="G303" s="16" t="s">
        <v>68</v>
      </c>
    </row>
    <row r="304" spans="1:8" x14ac:dyDescent="0.2">
      <c r="A304" t="s">
        <v>302</v>
      </c>
      <c r="B304">
        <v>80317</v>
      </c>
      <c r="C304" s="16">
        <v>849</v>
      </c>
      <c r="D304" s="16">
        <f>500+500+500</f>
        <v>1500</v>
      </c>
      <c r="E304" s="16">
        <v>140.52000000000001</v>
      </c>
      <c r="G304" s="16" t="s">
        <v>72</v>
      </c>
    </row>
    <row r="305" spans="1:7" x14ac:dyDescent="0.2">
      <c r="A305" t="s">
        <v>303</v>
      </c>
      <c r="B305">
        <v>80517</v>
      </c>
      <c r="D305" s="16">
        <v>500</v>
      </c>
      <c r="G305" s="16" t="s">
        <v>67</v>
      </c>
    </row>
    <row r="306" spans="1:7" x14ac:dyDescent="0.2">
      <c r="A306" t="s">
        <v>303</v>
      </c>
      <c r="B306">
        <v>80517</v>
      </c>
      <c r="C306" s="16">
        <v>510</v>
      </c>
      <c r="D306" s="16">
        <v>500</v>
      </c>
      <c r="E306" s="16">
        <v>35.450000000000003</v>
      </c>
      <c r="G306" t="s">
        <v>66</v>
      </c>
    </row>
    <row r="307" spans="1:7" x14ac:dyDescent="0.2">
      <c r="A307" t="s">
        <v>303</v>
      </c>
      <c r="B307">
        <v>80517</v>
      </c>
      <c r="D307" s="16">
        <f>500+500+500+500</f>
        <v>2000</v>
      </c>
      <c r="G307" s="16" t="s">
        <v>70</v>
      </c>
    </row>
    <row r="308" spans="1:7" x14ac:dyDescent="0.2">
      <c r="A308" t="s">
        <v>303</v>
      </c>
      <c r="B308">
        <v>80517</v>
      </c>
      <c r="C308" s="16" t="s">
        <v>366</v>
      </c>
      <c r="D308" s="16">
        <v>500</v>
      </c>
      <c r="E308" s="16">
        <v>38.26</v>
      </c>
      <c r="G308" s="16" t="s">
        <v>137</v>
      </c>
    </row>
    <row r="309" spans="1:7" x14ac:dyDescent="0.2">
      <c r="A309" t="s">
        <v>303</v>
      </c>
      <c r="B309">
        <v>80517</v>
      </c>
      <c r="D309" s="16">
        <v>1750</v>
      </c>
      <c r="G309" s="16" t="s">
        <v>72</v>
      </c>
    </row>
    <row r="310" spans="1:7" x14ac:dyDescent="0.2">
      <c r="A310" t="s">
        <v>303</v>
      </c>
      <c r="B310">
        <v>80517</v>
      </c>
      <c r="D310" s="16">
        <f>500+375+370</f>
        <v>1245</v>
      </c>
      <c r="G310" s="16" t="s">
        <v>69</v>
      </c>
    </row>
    <row r="311" spans="1:7" x14ac:dyDescent="0.2">
      <c r="A311" t="s">
        <v>303</v>
      </c>
      <c r="B311">
        <v>80517</v>
      </c>
      <c r="D311" s="16">
        <f>500+500+500</f>
        <v>1500</v>
      </c>
      <c r="G311" s="16" t="s">
        <v>68</v>
      </c>
    </row>
    <row r="312" spans="1:7" x14ac:dyDescent="0.2">
      <c r="A312" t="s">
        <v>304</v>
      </c>
      <c r="B312">
        <v>80517</v>
      </c>
      <c r="D312" s="16">
        <v>500</v>
      </c>
      <c r="G312" s="16" t="s">
        <v>67</v>
      </c>
    </row>
    <row r="313" spans="1:7" x14ac:dyDescent="0.2">
      <c r="A313" t="s">
        <v>304</v>
      </c>
      <c r="B313">
        <v>80517</v>
      </c>
      <c r="D313" s="16">
        <v>250</v>
      </c>
      <c r="G313" s="16" t="s">
        <v>72</v>
      </c>
    </row>
    <row r="314" spans="1:7" x14ac:dyDescent="0.2">
      <c r="A314" t="s">
        <v>304</v>
      </c>
      <c r="B314">
        <v>80517</v>
      </c>
      <c r="D314" s="16">
        <v>500</v>
      </c>
      <c r="G314" s="16" t="s">
        <v>66</v>
      </c>
    </row>
    <row r="315" spans="1:7" x14ac:dyDescent="0.2">
      <c r="A315" t="s">
        <v>304</v>
      </c>
      <c r="B315">
        <v>80517</v>
      </c>
      <c r="D315" s="16">
        <v>250</v>
      </c>
      <c r="G315" s="16" t="s">
        <v>68</v>
      </c>
    </row>
    <row r="316" spans="1:7" x14ac:dyDescent="0.2">
      <c r="A316" t="s">
        <v>304</v>
      </c>
      <c r="B316">
        <v>80517</v>
      </c>
      <c r="D316" s="16">
        <v>340</v>
      </c>
      <c r="G316" s="16" t="s">
        <v>137</v>
      </c>
    </row>
    <row r="317" spans="1:7" x14ac:dyDescent="0.2">
      <c r="A317" t="s">
        <v>304</v>
      </c>
      <c r="B317">
        <v>80517</v>
      </c>
      <c r="D317" s="16">
        <v>500</v>
      </c>
      <c r="E317" s="16">
        <v>41.21</v>
      </c>
      <c r="G317" s="16" t="s">
        <v>69</v>
      </c>
    </row>
    <row r="318" spans="1:7" x14ac:dyDescent="0.2">
      <c r="A318" t="s">
        <v>304</v>
      </c>
      <c r="B318">
        <v>80517</v>
      </c>
      <c r="D318" s="16">
        <v>255</v>
      </c>
      <c r="G318" s="16" t="s">
        <v>70</v>
      </c>
    </row>
    <row r="319" spans="1:7" x14ac:dyDescent="0.2">
      <c r="A319" t="s">
        <v>25</v>
      </c>
      <c r="B319">
        <v>80717</v>
      </c>
      <c r="C319" s="16" t="s">
        <v>367</v>
      </c>
      <c r="D319" s="16">
        <f>5+18</f>
        <v>23</v>
      </c>
      <c r="G319" s="16" t="s">
        <v>66</v>
      </c>
    </row>
    <row r="320" spans="1:7" x14ac:dyDescent="0.2">
      <c r="A320" t="s">
        <v>25</v>
      </c>
      <c r="B320">
        <v>80717</v>
      </c>
      <c r="C320" s="16" t="s">
        <v>368</v>
      </c>
      <c r="D320" s="16">
        <f>10+11</f>
        <v>21</v>
      </c>
      <c r="G320" s="16" t="s">
        <v>67</v>
      </c>
    </row>
    <row r="321" spans="1:7" x14ac:dyDescent="0.2">
      <c r="A321" t="s">
        <v>25</v>
      </c>
      <c r="B321">
        <v>80717</v>
      </c>
      <c r="C321" s="16" t="s">
        <v>369</v>
      </c>
      <c r="D321" s="16">
        <v>25</v>
      </c>
      <c r="E321" s="16">
        <v>31.63</v>
      </c>
      <c r="G321" s="16" t="s">
        <v>137</v>
      </c>
    </row>
    <row r="322" spans="1:7" x14ac:dyDescent="0.2">
      <c r="A322" t="s">
        <v>25</v>
      </c>
      <c r="B322">
        <v>80717</v>
      </c>
      <c r="D322" s="16">
        <v>28</v>
      </c>
      <c r="G322" s="16" t="s">
        <v>69</v>
      </c>
    </row>
    <row r="323" spans="1:7" x14ac:dyDescent="0.2">
      <c r="A323" t="s">
        <v>370</v>
      </c>
      <c r="B323">
        <v>80717</v>
      </c>
      <c r="C323" s="16" t="s">
        <v>371</v>
      </c>
      <c r="D323" s="16">
        <v>27</v>
      </c>
      <c r="E323" s="16">
        <v>37.520000000000003</v>
      </c>
      <c r="G323" s="16" t="s">
        <v>273</v>
      </c>
    </row>
    <row r="324" spans="1:7" x14ac:dyDescent="0.2">
      <c r="A324" t="s">
        <v>370</v>
      </c>
      <c r="B324">
        <v>80717</v>
      </c>
      <c r="C324" s="16" t="s">
        <v>372</v>
      </c>
      <c r="D324" s="16">
        <v>22</v>
      </c>
      <c r="E324" s="16">
        <v>37.909999999999997</v>
      </c>
      <c r="G324" s="16" t="s">
        <v>146</v>
      </c>
    </row>
    <row r="325" spans="1:7" x14ac:dyDescent="0.2">
      <c r="A325" t="s">
        <v>370</v>
      </c>
      <c r="B325">
        <v>80717</v>
      </c>
      <c r="D325" s="16">
        <v>51</v>
      </c>
      <c r="G325" s="16" t="s">
        <v>261</v>
      </c>
    </row>
    <row r="326" spans="1:7" x14ac:dyDescent="0.2">
      <c r="A326" t="s">
        <v>370</v>
      </c>
      <c r="B326">
        <v>80717</v>
      </c>
      <c r="C326" s="16">
        <v>91</v>
      </c>
      <c r="D326" s="16">
        <v>45</v>
      </c>
      <c r="G326" s="16" t="s">
        <v>142</v>
      </c>
    </row>
    <row r="327" spans="1:7" x14ac:dyDescent="0.2">
      <c r="A327" t="s">
        <v>370</v>
      </c>
      <c r="B327">
        <v>80717</v>
      </c>
      <c r="C327" s="16" t="s">
        <v>373</v>
      </c>
      <c r="D327" s="16">
        <v>20</v>
      </c>
      <c r="E327" s="16">
        <v>38.229999999999997</v>
      </c>
      <c r="G327" s="16" t="s">
        <v>147</v>
      </c>
    </row>
    <row r="328" spans="1:7" x14ac:dyDescent="0.2">
      <c r="A328" t="s">
        <v>370</v>
      </c>
      <c r="B328">
        <v>80717</v>
      </c>
      <c r="D328" s="16">
        <v>28</v>
      </c>
      <c r="G328" s="16" t="s">
        <v>274</v>
      </c>
    </row>
    <row r="329" spans="1:7" x14ac:dyDescent="0.2">
      <c r="A329" t="s">
        <v>370</v>
      </c>
      <c r="B329">
        <v>80717</v>
      </c>
      <c r="D329" s="16">
        <v>53</v>
      </c>
      <c r="G329" s="16" t="s">
        <v>72</v>
      </c>
    </row>
    <row r="330" spans="1:7" x14ac:dyDescent="0.2">
      <c r="A330" t="s">
        <v>370</v>
      </c>
      <c r="B330">
        <v>80717</v>
      </c>
      <c r="D330" s="16">
        <v>43</v>
      </c>
      <c r="G330" s="16" t="s">
        <v>68</v>
      </c>
    </row>
    <row r="331" spans="1:7" x14ac:dyDescent="0.2">
      <c r="A331" t="s">
        <v>370</v>
      </c>
      <c r="B331">
        <v>80717</v>
      </c>
      <c r="C331" s="16">
        <v>100</v>
      </c>
      <c r="D331" s="16">
        <v>49</v>
      </c>
      <c r="G331" s="16" t="s">
        <v>70</v>
      </c>
    </row>
    <row r="332" spans="1:7" x14ac:dyDescent="0.2">
      <c r="A332" t="s">
        <v>370</v>
      </c>
      <c r="B332">
        <v>80717</v>
      </c>
      <c r="C332" s="16">
        <v>823</v>
      </c>
      <c r="D332" s="16">
        <v>46</v>
      </c>
      <c r="E332" s="16">
        <v>137.08000000000001</v>
      </c>
      <c r="G332" s="16" t="s">
        <v>140</v>
      </c>
    </row>
    <row r="333" spans="1:7" x14ac:dyDescent="0.2">
      <c r="A333" t="s">
        <v>322</v>
      </c>
      <c r="B333">
        <v>80917</v>
      </c>
      <c r="C333" s="16" t="s">
        <v>374</v>
      </c>
      <c r="D333" s="16">
        <f>500+500+275</f>
        <v>1275</v>
      </c>
      <c r="E333" s="16">
        <v>37.44</v>
      </c>
      <c r="G333" s="16" t="s">
        <v>67</v>
      </c>
    </row>
    <row r="334" spans="1:7" x14ac:dyDescent="0.2">
      <c r="A334" t="s">
        <v>322</v>
      </c>
      <c r="B334">
        <v>80917</v>
      </c>
      <c r="D334" s="16">
        <f>500+500+500</f>
        <v>1500</v>
      </c>
      <c r="G334" s="16" t="s">
        <v>68</v>
      </c>
    </row>
    <row r="335" spans="1:7" x14ac:dyDescent="0.2">
      <c r="A335" t="s">
        <v>322</v>
      </c>
      <c r="B335">
        <v>80917</v>
      </c>
      <c r="C335" s="16">
        <v>114</v>
      </c>
      <c r="D335" s="16">
        <f>500+500+500+500</f>
        <v>2000</v>
      </c>
      <c r="G335" s="16" t="s">
        <v>70</v>
      </c>
    </row>
    <row r="336" spans="1:7" x14ac:dyDescent="0.2">
      <c r="A336" t="s">
        <v>322</v>
      </c>
      <c r="B336">
        <v>80917</v>
      </c>
      <c r="C336" s="16" t="s">
        <v>375</v>
      </c>
      <c r="D336" s="16">
        <f>500+500+155</f>
        <v>1155</v>
      </c>
      <c r="E336" s="16">
        <v>37.479999999999997</v>
      </c>
      <c r="G336" s="16" t="s">
        <v>137</v>
      </c>
    </row>
    <row r="337" spans="1:7" x14ac:dyDescent="0.2">
      <c r="A337" t="s">
        <v>322</v>
      </c>
      <c r="B337">
        <v>80917</v>
      </c>
      <c r="D337" s="16">
        <f>500+500+500+500</f>
        <v>2000</v>
      </c>
      <c r="G337" s="16" t="s">
        <v>72</v>
      </c>
    </row>
    <row r="338" spans="1:7" x14ac:dyDescent="0.2">
      <c r="A338" t="s">
        <v>322</v>
      </c>
      <c r="B338">
        <v>80917</v>
      </c>
      <c r="C338" s="16" t="s">
        <v>266</v>
      </c>
      <c r="D338" s="16">
        <f>500+500+145</f>
        <v>1145</v>
      </c>
      <c r="E338" s="16">
        <v>37.299999999999997</v>
      </c>
      <c r="G338" s="16" t="s">
        <v>66</v>
      </c>
    </row>
    <row r="339" spans="1:7" x14ac:dyDescent="0.2">
      <c r="A339" t="s">
        <v>322</v>
      </c>
      <c r="B339">
        <v>80917</v>
      </c>
      <c r="D339" s="16">
        <f>600+500+500+500+500</f>
        <v>2600</v>
      </c>
      <c r="E339" s="16">
        <v>41.41</v>
      </c>
      <c r="G339" s="16" t="s">
        <v>69</v>
      </c>
    </row>
    <row r="340" spans="1:7" x14ac:dyDescent="0.2">
      <c r="A340" t="s">
        <v>321</v>
      </c>
      <c r="B340">
        <v>80917</v>
      </c>
      <c r="D340" s="16">
        <v>500</v>
      </c>
      <c r="G340" s="16" t="s">
        <v>68</v>
      </c>
    </row>
    <row r="341" spans="1:7" x14ac:dyDescent="0.2">
      <c r="A341" t="s">
        <v>321</v>
      </c>
      <c r="B341">
        <v>80917</v>
      </c>
      <c r="D341" s="16">
        <f>305+110</f>
        <v>415</v>
      </c>
      <c r="G341" s="16" t="s">
        <v>70</v>
      </c>
    </row>
    <row r="342" spans="1:7" x14ac:dyDescent="0.2">
      <c r="A342" t="s">
        <v>321</v>
      </c>
      <c r="B342">
        <v>80917</v>
      </c>
      <c r="D342" s="16">
        <v>400</v>
      </c>
      <c r="E342" s="16">
        <v>141.47</v>
      </c>
      <c r="G342" s="16" t="s">
        <v>72</v>
      </c>
    </row>
    <row r="343" spans="1:7" x14ac:dyDescent="0.2">
      <c r="A343" t="s">
        <v>321</v>
      </c>
      <c r="B343">
        <v>80917</v>
      </c>
      <c r="C343" s="16" t="s">
        <v>376</v>
      </c>
      <c r="D343" s="16" t="s">
        <v>377</v>
      </c>
      <c r="E343" s="16">
        <v>38.07</v>
      </c>
      <c r="G343" s="16" t="s">
        <v>67</v>
      </c>
    </row>
    <row r="344" spans="1:7" x14ac:dyDescent="0.2">
      <c r="A344" t="s">
        <v>321</v>
      </c>
      <c r="B344">
        <v>80917</v>
      </c>
      <c r="C344" s="16" t="s">
        <v>378</v>
      </c>
      <c r="D344" s="16" t="s">
        <v>379</v>
      </c>
      <c r="E344" s="16">
        <v>38.049999999999997</v>
      </c>
      <c r="G344" s="16" t="s">
        <v>66</v>
      </c>
    </row>
    <row r="345" spans="1:7" x14ac:dyDescent="0.2">
      <c r="A345" t="s">
        <v>321</v>
      </c>
      <c r="B345">
        <v>80917</v>
      </c>
      <c r="C345" s="16" t="s">
        <v>380</v>
      </c>
      <c r="D345" s="16">
        <v>200</v>
      </c>
      <c r="E345" s="16">
        <v>37.450000000000003</v>
      </c>
      <c r="G345" s="16" t="s">
        <v>137</v>
      </c>
    </row>
    <row r="346" spans="1:7" x14ac:dyDescent="0.2">
      <c r="A346" t="s">
        <v>321</v>
      </c>
      <c r="B346">
        <v>80917</v>
      </c>
      <c r="D346" s="16">
        <f>370+205</f>
        <v>575</v>
      </c>
      <c r="G346" s="16" t="s">
        <v>69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2"/>
  <sheetViews>
    <sheetView workbookViewId="0">
      <pane ySplit="1" topLeftCell="A56" activePane="bottomLeft" state="frozen"/>
      <selection pane="bottomLeft" activeCell="D56" sqref="D56"/>
    </sheetView>
  </sheetViews>
  <sheetFormatPr defaultColWidth="11.42578125" defaultRowHeight="12.75" x14ac:dyDescent="0.2"/>
  <cols>
    <col min="4" max="4" width="11.5703125" style="31" bestFit="1" customWidth="1"/>
    <col min="5" max="5" width="15.140625" style="23" bestFit="1" customWidth="1"/>
    <col min="6" max="17" width="11.42578125" style="23"/>
    <col min="18" max="18" width="8.7109375" style="23" bestFit="1" customWidth="1"/>
    <col min="19" max="19" width="72.7109375" style="23" bestFit="1" customWidth="1"/>
  </cols>
  <sheetData>
    <row r="1" spans="1:19" s="6" customFormat="1" x14ac:dyDescent="0.2">
      <c r="A1" s="6" t="s">
        <v>382</v>
      </c>
      <c r="B1" s="6" t="s">
        <v>381</v>
      </c>
      <c r="C1" s="6" t="s">
        <v>32</v>
      </c>
      <c r="D1" s="30" t="s">
        <v>33</v>
      </c>
      <c r="E1" s="22" t="s">
        <v>49</v>
      </c>
      <c r="F1" s="22" t="s">
        <v>40</v>
      </c>
      <c r="G1" s="22" t="s">
        <v>41</v>
      </c>
      <c r="H1" s="22" t="s">
        <v>89</v>
      </c>
      <c r="I1" s="22" t="s">
        <v>52</v>
      </c>
      <c r="J1" s="22" t="s">
        <v>53</v>
      </c>
      <c r="K1" s="22" t="s">
        <v>35</v>
      </c>
      <c r="L1" s="22" t="s">
        <v>36</v>
      </c>
      <c r="M1" s="22" t="s">
        <v>37</v>
      </c>
      <c r="N1" s="22" t="s">
        <v>38</v>
      </c>
      <c r="O1" s="22" t="s">
        <v>47</v>
      </c>
      <c r="P1" s="22" t="s">
        <v>34</v>
      </c>
      <c r="Q1" s="22" t="s">
        <v>42</v>
      </c>
      <c r="R1" s="22" t="s">
        <v>43</v>
      </c>
      <c r="S1" s="22" t="s">
        <v>24</v>
      </c>
    </row>
    <row r="2" spans="1:19" x14ac:dyDescent="0.2">
      <c r="A2" t="s">
        <v>384</v>
      </c>
      <c r="B2" s="28">
        <v>42925</v>
      </c>
      <c r="C2">
        <v>70917</v>
      </c>
      <c r="D2" s="31">
        <v>0.35416666666666669</v>
      </c>
      <c r="E2" s="23" t="s">
        <v>56</v>
      </c>
      <c r="F2" s="23" t="s">
        <v>26</v>
      </c>
      <c r="G2" s="23" t="s">
        <v>26</v>
      </c>
      <c r="H2" s="23" t="s">
        <v>26</v>
      </c>
      <c r="I2" s="23" t="s">
        <v>26</v>
      </c>
      <c r="J2" s="23" t="s">
        <v>26</v>
      </c>
      <c r="K2" s="23" t="s">
        <v>26</v>
      </c>
      <c r="L2" s="23" t="s">
        <v>26</v>
      </c>
      <c r="M2" s="23">
        <v>1414</v>
      </c>
      <c r="N2" s="23">
        <v>3.88</v>
      </c>
      <c r="O2" s="23" t="s">
        <v>46</v>
      </c>
      <c r="P2" s="23" t="s">
        <v>26</v>
      </c>
      <c r="Q2" s="23" t="s">
        <v>26</v>
      </c>
      <c r="R2" s="23" t="s">
        <v>26</v>
      </c>
      <c r="S2" s="23" t="s">
        <v>59</v>
      </c>
    </row>
    <row r="3" spans="1:19" x14ac:dyDescent="0.2">
      <c r="A3" t="s">
        <v>384</v>
      </c>
      <c r="B3" s="28">
        <v>42925</v>
      </c>
      <c r="C3">
        <v>70917</v>
      </c>
      <c r="D3" s="31">
        <v>0.35416666666666669</v>
      </c>
      <c r="E3" s="23" t="s">
        <v>56</v>
      </c>
      <c r="F3" s="23" t="s">
        <v>26</v>
      </c>
      <c r="G3" s="23" t="s">
        <v>26</v>
      </c>
      <c r="H3" s="23" t="s">
        <v>26</v>
      </c>
      <c r="I3" s="23" t="s">
        <v>26</v>
      </c>
      <c r="J3" s="23" t="s">
        <v>26</v>
      </c>
      <c r="K3" s="23" t="s">
        <v>26</v>
      </c>
      <c r="L3" s="23" t="s">
        <v>26</v>
      </c>
      <c r="M3" s="23">
        <v>1411</v>
      </c>
      <c r="N3" s="23">
        <v>3.9</v>
      </c>
      <c r="O3" s="23" t="s">
        <v>48</v>
      </c>
      <c r="P3" s="23" t="s">
        <v>26</v>
      </c>
      <c r="Q3" s="23" t="s">
        <v>26</v>
      </c>
      <c r="R3" s="23" t="s">
        <v>26</v>
      </c>
    </row>
    <row r="4" spans="1:19" x14ac:dyDescent="0.2">
      <c r="A4" t="s">
        <v>384</v>
      </c>
      <c r="B4" s="28">
        <v>42926</v>
      </c>
      <c r="C4">
        <v>71017</v>
      </c>
      <c r="E4" s="23" t="s">
        <v>56</v>
      </c>
      <c r="F4" s="23" t="s">
        <v>26</v>
      </c>
      <c r="G4" s="23" t="s">
        <v>26</v>
      </c>
      <c r="H4" s="23" t="s">
        <v>26</v>
      </c>
      <c r="I4" s="23" t="s">
        <v>26</v>
      </c>
      <c r="J4" s="23" t="s">
        <v>26</v>
      </c>
      <c r="K4" s="23" t="s">
        <v>26</v>
      </c>
      <c r="L4" s="23" t="s">
        <v>26</v>
      </c>
      <c r="M4" s="23">
        <v>1413</v>
      </c>
      <c r="N4" s="23">
        <v>4</v>
      </c>
      <c r="O4" s="23" t="s">
        <v>46</v>
      </c>
      <c r="P4" s="23" t="s">
        <v>26</v>
      </c>
      <c r="Q4" s="23" t="s">
        <v>26</v>
      </c>
      <c r="R4" s="23" t="s">
        <v>26</v>
      </c>
      <c r="S4" s="23" t="s">
        <v>59</v>
      </c>
    </row>
    <row r="5" spans="1:19" x14ac:dyDescent="0.2">
      <c r="A5" t="s">
        <v>384</v>
      </c>
      <c r="B5" s="28">
        <v>42926</v>
      </c>
      <c r="C5">
        <v>71017</v>
      </c>
      <c r="E5" s="23" t="s">
        <v>56</v>
      </c>
      <c r="F5" s="23" t="s">
        <v>26</v>
      </c>
      <c r="G5" s="23" t="s">
        <v>26</v>
      </c>
      <c r="H5" s="23" t="s">
        <v>26</v>
      </c>
      <c r="I5" s="23" t="s">
        <v>26</v>
      </c>
      <c r="J5" s="23" t="s">
        <v>26</v>
      </c>
      <c r="K5" s="23" t="s">
        <v>26</v>
      </c>
      <c r="L5" s="23" t="s">
        <v>26</v>
      </c>
      <c r="M5" s="23">
        <v>1413</v>
      </c>
      <c r="N5" s="23">
        <v>4</v>
      </c>
      <c r="O5" s="23" t="s">
        <v>48</v>
      </c>
      <c r="P5" s="23" t="s">
        <v>26</v>
      </c>
      <c r="Q5" s="23" t="s">
        <v>26</v>
      </c>
      <c r="R5" s="23" t="s">
        <v>26</v>
      </c>
    </row>
    <row r="6" spans="1:19" x14ac:dyDescent="0.2">
      <c r="A6" t="s">
        <v>383</v>
      </c>
      <c r="B6" s="28">
        <v>42926</v>
      </c>
      <c r="C6">
        <v>71017</v>
      </c>
      <c r="D6" s="31">
        <v>0.58750000000000002</v>
      </c>
      <c r="E6" s="23" t="s">
        <v>39</v>
      </c>
      <c r="F6" s="23">
        <v>67.390140000000002</v>
      </c>
      <c r="G6" s="23">
        <v>134.94226</v>
      </c>
      <c r="H6" s="23" t="s">
        <v>26</v>
      </c>
      <c r="I6" s="23">
        <v>19.2</v>
      </c>
      <c r="J6" s="23">
        <v>0.99490000000000001</v>
      </c>
      <c r="K6" s="23">
        <v>90.8</v>
      </c>
      <c r="L6" s="23">
        <v>8.4</v>
      </c>
      <c r="M6" s="23">
        <v>472.3</v>
      </c>
      <c r="N6" s="23">
        <v>7.23</v>
      </c>
      <c r="O6" s="23" t="s">
        <v>46</v>
      </c>
      <c r="P6" s="23" t="s">
        <v>44</v>
      </c>
      <c r="Q6" s="23">
        <v>0</v>
      </c>
      <c r="R6" s="23" t="s">
        <v>45</v>
      </c>
      <c r="S6" s="23" t="s">
        <v>50</v>
      </c>
    </row>
    <row r="7" spans="1:19" x14ac:dyDescent="0.2">
      <c r="A7" t="s">
        <v>383</v>
      </c>
      <c r="B7" s="28">
        <v>42926</v>
      </c>
      <c r="C7">
        <v>71017</v>
      </c>
      <c r="D7" s="31">
        <v>0.6958333333333333</v>
      </c>
      <c r="E7" s="23" t="s">
        <v>39</v>
      </c>
      <c r="F7" s="23">
        <v>67.390140000000002</v>
      </c>
      <c r="G7" s="23">
        <v>134.94226</v>
      </c>
      <c r="H7" s="23" t="s">
        <v>26</v>
      </c>
      <c r="I7" s="23" t="s">
        <v>26</v>
      </c>
      <c r="J7" s="23" t="s">
        <v>26</v>
      </c>
      <c r="K7" s="23" t="s">
        <v>26</v>
      </c>
      <c r="L7" s="23" t="s">
        <v>26</v>
      </c>
      <c r="M7" s="23">
        <v>488</v>
      </c>
      <c r="N7" s="23">
        <v>7.7</v>
      </c>
      <c r="O7" s="23" t="s">
        <v>48</v>
      </c>
      <c r="P7" s="23" t="s">
        <v>44</v>
      </c>
      <c r="Q7" s="23">
        <v>0</v>
      </c>
      <c r="R7" s="23" t="s">
        <v>45</v>
      </c>
      <c r="S7" s="23" t="s">
        <v>54</v>
      </c>
    </row>
    <row r="8" spans="1:19" x14ac:dyDescent="0.2">
      <c r="A8" t="s">
        <v>383</v>
      </c>
      <c r="B8" s="28">
        <v>42926</v>
      </c>
      <c r="C8">
        <v>71017</v>
      </c>
      <c r="D8" s="31">
        <v>0.61388888888888882</v>
      </c>
      <c r="E8" s="23" t="s">
        <v>57</v>
      </c>
      <c r="F8" s="23">
        <v>67.390140000000002</v>
      </c>
      <c r="G8" s="23">
        <v>134.94226</v>
      </c>
      <c r="H8" s="23" t="s">
        <v>26</v>
      </c>
      <c r="I8" s="23">
        <v>17.600000000000001</v>
      </c>
      <c r="J8" s="23">
        <v>0.995</v>
      </c>
      <c r="K8" s="23">
        <v>95.3</v>
      </c>
      <c r="L8" s="23">
        <v>9.08</v>
      </c>
      <c r="M8" s="23">
        <v>445.5</v>
      </c>
      <c r="N8" s="23">
        <v>7.57</v>
      </c>
      <c r="O8" s="23" t="s">
        <v>46</v>
      </c>
      <c r="P8" s="23" t="s">
        <v>44</v>
      </c>
      <c r="Q8" s="23">
        <v>0</v>
      </c>
      <c r="R8" s="23" t="s">
        <v>45</v>
      </c>
      <c r="S8" s="23" t="s">
        <v>73</v>
      </c>
    </row>
    <row r="9" spans="1:19" x14ac:dyDescent="0.2">
      <c r="A9" t="s">
        <v>383</v>
      </c>
      <c r="B9" s="28">
        <v>42926</v>
      </c>
      <c r="C9">
        <v>71017</v>
      </c>
      <c r="D9" s="31">
        <v>0.6875</v>
      </c>
      <c r="E9" s="23" t="s">
        <v>57</v>
      </c>
      <c r="F9" s="23">
        <v>67.390140000000002</v>
      </c>
      <c r="G9" s="23">
        <v>134.94226</v>
      </c>
      <c r="H9" s="23" t="s">
        <v>26</v>
      </c>
      <c r="I9" s="23" t="s">
        <v>26</v>
      </c>
      <c r="J9" s="23" t="s">
        <v>26</v>
      </c>
      <c r="K9" s="23" t="s">
        <v>26</v>
      </c>
      <c r="L9" s="23" t="s">
        <v>26</v>
      </c>
      <c r="M9" s="23">
        <v>464</v>
      </c>
      <c r="N9" s="23">
        <v>7.9</v>
      </c>
      <c r="O9" s="23" t="s">
        <v>48</v>
      </c>
      <c r="P9" s="23" t="s">
        <v>44</v>
      </c>
      <c r="Q9" s="23">
        <v>0</v>
      </c>
      <c r="R9" s="23" t="s">
        <v>45</v>
      </c>
      <c r="S9" s="23" t="s">
        <v>58</v>
      </c>
    </row>
    <row r="10" spans="1:19" x14ac:dyDescent="0.2">
      <c r="A10" t="s">
        <v>383</v>
      </c>
      <c r="B10" s="28">
        <v>42926</v>
      </c>
      <c r="C10">
        <v>71017</v>
      </c>
      <c r="D10" s="31">
        <v>0.66111111111111109</v>
      </c>
      <c r="E10" s="23" t="s">
        <v>51</v>
      </c>
      <c r="F10" s="23">
        <v>67.390140000000002</v>
      </c>
      <c r="G10" s="23">
        <v>134.94226</v>
      </c>
      <c r="H10" s="23" t="s">
        <v>26</v>
      </c>
      <c r="I10" s="23">
        <v>18</v>
      </c>
      <c r="J10" s="23">
        <v>0.99470000000000003</v>
      </c>
      <c r="K10" s="23">
        <v>91.2</v>
      </c>
      <c r="L10" s="23">
        <v>8.5</v>
      </c>
      <c r="M10" s="23">
        <v>447</v>
      </c>
      <c r="N10" s="23">
        <v>7.6</v>
      </c>
      <c r="O10" s="23" t="s">
        <v>46</v>
      </c>
      <c r="P10" s="23" t="s">
        <v>44</v>
      </c>
      <c r="Q10" s="23">
        <v>0</v>
      </c>
      <c r="R10" s="23" t="s">
        <v>45</v>
      </c>
    </row>
    <row r="11" spans="1:19" x14ac:dyDescent="0.2">
      <c r="A11" t="s">
        <v>383</v>
      </c>
      <c r="B11" s="28">
        <v>42926</v>
      </c>
      <c r="C11">
        <v>71017</v>
      </c>
      <c r="D11" s="31">
        <v>0.69236111111111109</v>
      </c>
      <c r="E11" s="23" t="s">
        <v>51</v>
      </c>
      <c r="F11" s="23">
        <v>67.390140000000002</v>
      </c>
      <c r="G11" s="23">
        <v>134.94226</v>
      </c>
      <c r="H11" s="23" t="s">
        <v>26</v>
      </c>
      <c r="I11" s="23" t="s">
        <v>26</v>
      </c>
      <c r="J11" s="23" t="s">
        <v>26</v>
      </c>
      <c r="K11" s="23" t="s">
        <v>26</v>
      </c>
      <c r="L11" s="23" t="s">
        <v>26</v>
      </c>
      <c r="M11" s="23">
        <v>463</v>
      </c>
      <c r="N11" s="23">
        <v>7.4</v>
      </c>
      <c r="O11" s="23" t="s">
        <v>48</v>
      </c>
      <c r="P11" s="23" t="s">
        <v>44</v>
      </c>
      <c r="Q11" s="23">
        <v>0</v>
      </c>
      <c r="R11" s="23" t="s">
        <v>45</v>
      </c>
      <c r="S11" s="23" t="s">
        <v>55</v>
      </c>
    </row>
    <row r="12" spans="1:19" x14ac:dyDescent="0.2">
      <c r="A12" t="s">
        <v>384</v>
      </c>
      <c r="B12" s="28">
        <v>42928</v>
      </c>
      <c r="C12">
        <v>71217</v>
      </c>
      <c r="D12" s="31">
        <v>0.31597222222222221</v>
      </c>
      <c r="E12" s="23" t="s">
        <v>56</v>
      </c>
      <c r="F12" s="23" t="s">
        <v>26</v>
      </c>
      <c r="G12" s="23" t="s">
        <v>26</v>
      </c>
      <c r="H12" s="23" t="s">
        <v>26</v>
      </c>
      <c r="I12" s="23">
        <v>19.7</v>
      </c>
      <c r="J12" s="23">
        <v>1.0069999999999999</v>
      </c>
      <c r="K12" s="23">
        <v>100.5</v>
      </c>
      <c r="L12" s="23">
        <v>9.1999999999999993</v>
      </c>
      <c r="M12" s="23">
        <v>1416</v>
      </c>
      <c r="N12" s="23">
        <v>3.98</v>
      </c>
      <c r="O12" s="23" t="s">
        <v>46</v>
      </c>
      <c r="P12" s="23" t="s">
        <v>26</v>
      </c>
      <c r="Q12" s="23" t="s">
        <v>26</v>
      </c>
      <c r="R12" s="23" t="s">
        <v>26</v>
      </c>
    </row>
    <row r="13" spans="1:19" x14ac:dyDescent="0.2">
      <c r="A13" t="s">
        <v>384</v>
      </c>
      <c r="B13" s="28">
        <v>42928</v>
      </c>
      <c r="C13">
        <v>71217</v>
      </c>
      <c r="D13" s="31">
        <v>0.31597222222222221</v>
      </c>
      <c r="E13" s="23" t="s">
        <v>56</v>
      </c>
      <c r="F13" s="23" t="s">
        <v>26</v>
      </c>
      <c r="G13" s="23" t="s">
        <v>26</v>
      </c>
      <c r="H13" s="23" t="s">
        <v>26</v>
      </c>
      <c r="I13" s="23" t="s">
        <v>26</v>
      </c>
      <c r="J13" s="23" t="s">
        <v>26</v>
      </c>
      <c r="K13" s="23" t="s">
        <v>26</v>
      </c>
      <c r="L13" s="23" t="s">
        <v>26</v>
      </c>
      <c r="M13" s="23">
        <v>1413</v>
      </c>
      <c r="N13" s="23" t="s">
        <v>26</v>
      </c>
      <c r="O13" s="23" t="s">
        <v>48</v>
      </c>
      <c r="P13" s="23" t="s">
        <v>26</v>
      </c>
      <c r="Q13" s="23" t="s">
        <v>26</v>
      </c>
      <c r="R13" s="23" t="s">
        <v>26</v>
      </c>
      <c r="S13" s="23" t="s">
        <v>74</v>
      </c>
    </row>
    <row r="14" spans="1:19" x14ac:dyDescent="0.2">
      <c r="A14">
        <v>27</v>
      </c>
      <c r="B14" s="28">
        <v>42928</v>
      </c>
      <c r="C14">
        <v>71217</v>
      </c>
      <c r="D14" s="31">
        <v>0.51527777777777783</v>
      </c>
      <c r="E14" s="24" t="s">
        <v>82</v>
      </c>
      <c r="F14" s="23">
        <v>67.178470000000004</v>
      </c>
      <c r="G14" s="23">
        <v>135.73061999999999</v>
      </c>
      <c r="H14" s="24">
        <v>581</v>
      </c>
      <c r="I14" s="23">
        <v>5.7</v>
      </c>
      <c r="J14" s="23">
        <v>0.94259999999999999</v>
      </c>
      <c r="K14" s="23">
        <v>92.8</v>
      </c>
      <c r="L14" s="23">
        <v>11.6</v>
      </c>
      <c r="M14" s="23">
        <v>317.3</v>
      </c>
      <c r="N14" s="23">
        <v>6.94</v>
      </c>
      <c r="O14" s="23" t="s">
        <v>46</v>
      </c>
      <c r="P14" s="23" t="s">
        <v>75</v>
      </c>
      <c r="Q14" s="23">
        <v>75</v>
      </c>
      <c r="R14" s="23" t="s">
        <v>76</v>
      </c>
    </row>
    <row r="15" spans="1:19" x14ac:dyDescent="0.2">
      <c r="A15">
        <v>27</v>
      </c>
      <c r="B15" s="28">
        <v>42928</v>
      </c>
      <c r="C15">
        <v>71217</v>
      </c>
      <c r="D15" s="31">
        <v>0.48888888888888887</v>
      </c>
      <c r="E15" s="24" t="s">
        <v>82</v>
      </c>
      <c r="F15" s="23">
        <v>67.178470000000004</v>
      </c>
      <c r="G15" s="23">
        <v>135.73061999999999</v>
      </c>
      <c r="H15" s="24">
        <v>581</v>
      </c>
      <c r="I15" s="23">
        <v>5.2</v>
      </c>
      <c r="J15" s="23" t="s">
        <v>26</v>
      </c>
      <c r="K15" s="23" t="s">
        <v>26</v>
      </c>
      <c r="L15" s="23" t="s">
        <v>26</v>
      </c>
      <c r="M15" s="23">
        <v>476</v>
      </c>
      <c r="N15" s="23">
        <v>6.6</v>
      </c>
      <c r="O15" s="23" t="s">
        <v>48</v>
      </c>
      <c r="P15" s="23" t="s">
        <v>75</v>
      </c>
      <c r="Q15" s="23">
        <v>75</v>
      </c>
      <c r="R15" s="23" t="s">
        <v>76</v>
      </c>
    </row>
    <row r="16" spans="1:19" x14ac:dyDescent="0.2">
      <c r="A16">
        <v>48</v>
      </c>
      <c r="B16" s="28">
        <v>42928</v>
      </c>
      <c r="C16">
        <v>71217</v>
      </c>
      <c r="D16" s="31">
        <v>0.62222222222222223</v>
      </c>
      <c r="E16" s="24" t="s">
        <v>84</v>
      </c>
      <c r="F16" s="23">
        <v>67.179649999999995</v>
      </c>
      <c r="G16" s="23">
        <v>135.73061999999999</v>
      </c>
      <c r="H16" s="24">
        <v>575</v>
      </c>
      <c r="I16" s="24">
        <v>11</v>
      </c>
      <c r="J16" s="24">
        <v>0.94340000000000002</v>
      </c>
      <c r="K16" s="24">
        <v>92.4</v>
      </c>
      <c r="L16" s="24">
        <v>10.16</v>
      </c>
      <c r="M16" s="24">
        <v>501.1</v>
      </c>
      <c r="N16" s="24">
        <v>7.08</v>
      </c>
      <c r="O16" s="24" t="s">
        <v>46</v>
      </c>
      <c r="P16" s="24" t="s">
        <v>77</v>
      </c>
      <c r="Q16" s="24">
        <v>75</v>
      </c>
      <c r="R16" s="24" t="s">
        <v>78</v>
      </c>
    </row>
    <row r="17" spans="1:19" x14ac:dyDescent="0.2">
      <c r="A17">
        <v>48</v>
      </c>
      <c r="B17" s="28">
        <v>42928</v>
      </c>
      <c r="C17">
        <v>71217</v>
      </c>
      <c r="D17" s="31">
        <v>0.57291666666666663</v>
      </c>
      <c r="E17" s="24" t="s">
        <v>84</v>
      </c>
      <c r="F17" s="23">
        <v>67.179649999999995</v>
      </c>
      <c r="G17" s="23">
        <v>135.73061999999999</v>
      </c>
      <c r="H17" s="24">
        <v>575</v>
      </c>
      <c r="I17" s="24">
        <v>10.3</v>
      </c>
      <c r="J17" s="23" t="s">
        <v>26</v>
      </c>
      <c r="K17" s="23" t="s">
        <v>26</v>
      </c>
      <c r="L17" s="23" t="s">
        <v>26</v>
      </c>
      <c r="M17" s="24">
        <v>731</v>
      </c>
      <c r="N17" s="24">
        <v>7.4</v>
      </c>
      <c r="O17" s="23" t="s">
        <v>48</v>
      </c>
      <c r="P17" s="24" t="s">
        <v>77</v>
      </c>
      <c r="Q17" s="24">
        <v>75</v>
      </c>
      <c r="R17" s="24" t="s">
        <v>78</v>
      </c>
    </row>
    <row r="18" spans="1:19" x14ac:dyDescent="0.2">
      <c r="A18" t="s">
        <v>384</v>
      </c>
      <c r="B18" s="28">
        <v>42929</v>
      </c>
      <c r="C18">
        <v>71317</v>
      </c>
      <c r="D18" s="31">
        <v>0.31319444444444444</v>
      </c>
      <c r="E18" s="24" t="s">
        <v>56</v>
      </c>
      <c r="F18" s="23" t="s">
        <v>26</v>
      </c>
      <c r="G18" s="23" t="s">
        <v>26</v>
      </c>
      <c r="H18" s="23" t="s">
        <v>26</v>
      </c>
      <c r="I18" s="24">
        <v>18.8</v>
      </c>
      <c r="J18" s="23">
        <v>1.0066999999999999</v>
      </c>
      <c r="K18" s="24" t="s">
        <v>26</v>
      </c>
      <c r="L18" s="24" t="s">
        <v>26</v>
      </c>
      <c r="M18" s="24">
        <v>1413</v>
      </c>
      <c r="N18" s="24">
        <v>3.97</v>
      </c>
      <c r="O18" s="24" t="s">
        <v>46</v>
      </c>
      <c r="P18" s="23" t="s">
        <v>26</v>
      </c>
      <c r="Q18" s="23" t="s">
        <v>26</v>
      </c>
      <c r="R18" s="23" t="s">
        <v>26</v>
      </c>
    </row>
    <row r="19" spans="1:19" x14ac:dyDescent="0.2">
      <c r="A19" t="s">
        <v>384</v>
      </c>
      <c r="B19" s="28">
        <v>42929</v>
      </c>
      <c r="C19">
        <v>71317</v>
      </c>
      <c r="D19" s="31">
        <v>0.31319444444444444</v>
      </c>
      <c r="E19" s="24" t="s">
        <v>56</v>
      </c>
      <c r="F19" s="23" t="s">
        <v>26</v>
      </c>
      <c r="G19" s="23" t="s">
        <v>26</v>
      </c>
      <c r="H19" s="23" t="s">
        <v>26</v>
      </c>
      <c r="I19" s="23" t="s">
        <v>26</v>
      </c>
      <c r="J19" s="23" t="s">
        <v>26</v>
      </c>
      <c r="K19" s="23" t="s">
        <v>26</v>
      </c>
      <c r="L19" s="23" t="s">
        <v>26</v>
      </c>
      <c r="M19" s="24">
        <v>1417</v>
      </c>
      <c r="N19" s="24">
        <v>7</v>
      </c>
      <c r="O19" s="24" t="s">
        <v>48</v>
      </c>
      <c r="P19" s="23" t="s">
        <v>26</v>
      </c>
      <c r="Q19" s="23" t="s">
        <v>26</v>
      </c>
      <c r="R19" s="23" t="s">
        <v>26</v>
      </c>
      <c r="S19" s="24" t="s">
        <v>79</v>
      </c>
    </row>
    <row r="20" spans="1:19" x14ac:dyDescent="0.2">
      <c r="A20">
        <v>13</v>
      </c>
      <c r="B20" s="28">
        <v>42929</v>
      </c>
      <c r="C20">
        <v>71317</v>
      </c>
      <c r="D20" s="31">
        <v>0.4381944444444445</v>
      </c>
      <c r="E20" s="24" t="s">
        <v>83</v>
      </c>
      <c r="F20" s="23">
        <v>67.22099</v>
      </c>
      <c r="G20" s="23">
        <v>135.50355999999999</v>
      </c>
      <c r="H20" s="24">
        <v>350</v>
      </c>
      <c r="I20" s="24">
        <v>11.2</v>
      </c>
      <c r="J20" s="24">
        <v>0.96899999999999997</v>
      </c>
      <c r="K20" s="24">
        <v>26</v>
      </c>
      <c r="L20" s="24">
        <v>2.85</v>
      </c>
      <c r="M20" s="24">
        <v>15.9</v>
      </c>
      <c r="N20" s="24">
        <v>4.17</v>
      </c>
      <c r="O20" s="24" t="s">
        <v>46</v>
      </c>
      <c r="P20" s="24" t="s">
        <v>44</v>
      </c>
      <c r="Q20" s="24">
        <v>5</v>
      </c>
      <c r="R20" s="24" t="s">
        <v>80</v>
      </c>
      <c r="S20" s="24" t="s">
        <v>81</v>
      </c>
    </row>
    <row r="21" spans="1:19" x14ac:dyDescent="0.2">
      <c r="A21">
        <v>13</v>
      </c>
      <c r="B21" s="28">
        <v>42929</v>
      </c>
      <c r="C21">
        <v>71317</v>
      </c>
      <c r="D21" s="31">
        <v>0.46527777777777773</v>
      </c>
      <c r="E21" s="24" t="s">
        <v>83</v>
      </c>
      <c r="F21" s="23">
        <v>67.22099</v>
      </c>
      <c r="G21" s="23">
        <v>135.50355999999999</v>
      </c>
      <c r="H21" s="24">
        <v>350</v>
      </c>
      <c r="I21" s="24">
        <v>11.2</v>
      </c>
      <c r="J21" s="23" t="s">
        <v>26</v>
      </c>
      <c r="K21" s="23" t="s">
        <v>26</v>
      </c>
      <c r="L21" s="23" t="s">
        <v>26</v>
      </c>
      <c r="M21" s="24">
        <v>17</v>
      </c>
      <c r="N21" s="24">
        <v>5.0999999999999996</v>
      </c>
      <c r="O21" s="24" t="s">
        <v>48</v>
      </c>
      <c r="P21" s="24" t="s">
        <v>44</v>
      </c>
      <c r="Q21" s="24">
        <v>5</v>
      </c>
      <c r="R21" s="24" t="s">
        <v>80</v>
      </c>
    </row>
    <row r="22" spans="1:19" x14ac:dyDescent="0.2">
      <c r="A22" t="s">
        <v>384</v>
      </c>
      <c r="B22" s="28">
        <v>42930</v>
      </c>
      <c r="C22">
        <v>71417</v>
      </c>
      <c r="D22" s="31">
        <v>0.30902777777777779</v>
      </c>
      <c r="E22" s="24" t="s">
        <v>56</v>
      </c>
      <c r="F22" s="23" t="s">
        <v>26</v>
      </c>
      <c r="G22" s="23" t="s">
        <v>26</v>
      </c>
      <c r="H22" s="23" t="s">
        <v>26</v>
      </c>
      <c r="I22" s="24">
        <v>19.899999999999999</v>
      </c>
      <c r="J22" s="23">
        <v>0.99909999999999999</v>
      </c>
      <c r="K22" s="24">
        <v>100.1</v>
      </c>
      <c r="L22" s="24" t="s">
        <v>26</v>
      </c>
      <c r="M22" s="24">
        <v>1413</v>
      </c>
      <c r="N22" s="24">
        <v>4</v>
      </c>
      <c r="O22" s="24" t="s">
        <v>46</v>
      </c>
      <c r="P22" s="23" t="s">
        <v>26</v>
      </c>
      <c r="Q22" s="23" t="s">
        <v>26</v>
      </c>
      <c r="R22" s="23" t="s">
        <v>26</v>
      </c>
    </row>
    <row r="23" spans="1:19" x14ac:dyDescent="0.2">
      <c r="A23" t="s">
        <v>384</v>
      </c>
      <c r="B23" s="28">
        <v>42930</v>
      </c>
      <c r="C23">
        <v>71417</v>
      </c>
      <c r="D23" s="31">
        <v>0.30902777777777779</v>
      </c>
      <c r="E23" s="24" t="s">
        <v>56</v>
      </c>
      <c r="F23" s="23" t="s">
        <v>26</v>
      </c>
      <c r="G23" s="23" t="s">
        <v>26</v>
      </c>
      <c r="H23" s="23" t="s">
        <v>26</v>
      </c>
      <c r="I23" s="23" t="s">
        <v>26</v>
      </c>
      <c r="J23" s="23" t="s">
        <v>26</v>
      </c>
      <c r="K23" s="23" t="s">
        <v>26</v>
      </c>
      <c r="L23" s="23" t="s">
        <v>26</v>
      </c>
      <c r="M23" s="24">
        <v>1416</v>
      </c>
      <c r="N23" s="24">
        <v>4</v>
      </c>
      <c r="O23" s="24" t="s">
        <v>48</v>
      </c>
      <c r="P23" s="23" t="s">
        <v>26</v>
      </c>
      <c r="Q23" s="23" t="s">
        <v>26</v>
      </c>
      <c r="R23" s="23" t="s">
        <v>26</v>
      </c>
      <c r="S23" s="24" t="s">
        <v>85</v>
      </c>
    </row>
    <row r="24" spans="1:19" x14ac:dyDescent="0.2">
      <c r="A24">
        <v>26</v>
      </c>
      <c r="B24" s="28">
        <v>42930</v>
      </c>
      <c r="C24">
        <v>71417</v>
      </c>
      <c r="D24" s="31">
        <v>0.4861111111111111</v>
      </c>
      <c r="E24" s="24" t="s">
        <v>86</v>
      </c>
      <c r="F24" s="23">
        <v>67.158050000000003</v>
      </c>
      <c r="G24" s="23">
        <v>135.91436999999999</v>
      </c>
      <c r="H24" s="24">
        <v>624</v>
      </c>
      <c r="I24" s="24">
        <v>7.7</v>
      </c>
      <c r="J24" s="24">
        <v>0.93179999999999996</v>
      </c>
      <c r="K24" s="24">
        <v>93.8</v>
      </c>
      <c r="L24" s="24">
        <v>11.15</v>
      </c>
      <c r="M24" s="24">
        <v>1204</v>
      </c>
      <c r="N24" s="24">
        <v>6.07</v>
      </c>
      <c r="O24" s="24" t="s">
        <v>46</v>
      </c>
      <c r="P24" s="24" t="s">
        <v>44</v>
      </c>
      <c r="Q24" s="24">
        <v>0</v>
      </c>
      <c r="R24" s="24" t="s">
        <v>87</v>
      </c>
    </row>
    <row r="25" spans="1:19" x14ac:dyDescent="0.2">
      <c r="A25">
        <v>26</v>
      </c>
      <c r="B25" s="28">
        <v>42930</v>
      </c>
      <c r="C25">
        <v>71417</v>
      </c>
      <c r="D25" s="31">
        <v>0.48888888888888887</v>
      </c>
      <c r="E25" s="24" t="s">
        <v>86</v>
      </c>
      <c r="F25" s="23">
        <v>67.158050000000003</v>
      </c>
      <c r="G25" s="23">
        <v>135.91436999999999</v>
      </c>
      <c r="H25" s="24">
        <v>624</v>
      </c>
      <c r="I25" s="24">
        <v>7.8</v>
      </c>
      <c r="J25" s="24" t="s">
        <v>26</v>
      </c>
      <c r="K25" s="24" t="s">
        <v>26</v>
      </c>
      <c r="L25" s="24" t="s">
        <v>26</v>
      </c>
      <c r="M25" s="24">
        <v>1264</v>
      </c>
      <c r="N25" s="24">
        <v>6.2</v>
      </c>
      <c r="O25" s="24" t="s">
        <v>48</v>
      </c>
      <c r="P25" s="24" t="s">
        <v>44</v>
      </c>
      <c r="Q25" s="24">
        <v>0</v>
      </c>
      <c r="R25" s="24" t="s">
        <v>87</v>
      </c>
    </row>
    <row r="26" spans="1:19" x14ac:dyDescent="0.2">
      <c r="A26">
        <v>30</v>
      </c>
      <c r="B26" s="28">
        <v>42930</v>
      </c>
      <c r="C26">
        <v>71417</v>
      </c>
      <c r="D26" s="31">
        <v>0.54166666666666663</v>
      </c>
      <c r="E26" s="24" t="s">
        <v>88</v>
      </c>
      <c r="F26" s="23">
        <v>67.164760000000001</v>
      </c>
      <c r="G26" s="23">
        <v>135.89633000000001</v>
      </c>
      <c r="H26" s="24">
        <v>645</v>
      </c>
      <c r="I26" s="24">
        <v>9.1</v>
      </c>
      <c r="J26" s="24">
        <v>0.92769999999999997</v>
      </c>
      <c r="K26" s="24">
        <v>95</v>
      </c>
      <c r="L26" s="24">
        <v>10.95</v>
      </c>
      <c r="M26" s="24">
        <v>396.1</v>
      </c>
      <c r="N26" s="24">
        <v>5.16</v>
      </c>
      <c r="O26" s="24" t="s">
        <v>46</v>
      </c>
      <c r="P26" s="24" t="s">
        <v>44</v>
      </c>
      <c r="Q26" s="24">
        <v>0</v>
      </c>
      <c r="R26" s="24" t="s">
        <v>80</v>
      </c>
    </row>
    <row r="27" spans="1:19" x14ac:dyDescent="0.2">
      <c r="A27">
        <v>30</v>
      </c>
      <c r="B27" s="28">
        <v>42930</v>
      </c>
      <c r="C27">
        <v>71417</v>
      </c>
      <c r="D27" s="31">
        <v>0.56944444444444442</v>
      </c>
      <c r="E27" s="24" t="s">
        <v>88</v>
      </c>
      <c r="F27" s="23">
        <v>67.164760000000001</v>
      </c>
      <c r="G27" s="23">
        <v>135.89633000000001</v>
      </c>
      <c r="H27" s="23">
        <v>645</v>
      </c>
      <c r="I27" s="24">
        <v>9.1</v>
      </c>
      <c r="J27" s="24" t="s">
        <v>26</v>
      </c>
      <c r="K27" s="24" t="s">
        <v>26</v>
      </c>
      <c r="L27" s="24" t="s">
        <v>26</v>
      </c>
      <c r="M27" s="24">
        <v>415</v>
      </c>
      <c r="N27" s="24">
        <v>5.5</v>
      </c>
      <c r="O27" s="24" t="s">
        <v>48</v>
      </c>
      <c r="P27" s="24" t="s">
        <v>44</v>
      </c>
      <c r="Q27" s="24">
        <v>0</v>
      </c>
      <c r="R27" s="24" t="s">
        <v>80</v>
      </c>
    </row>
    <row r="28" spans="1:19" x14ac:dyDescent="0.2">
      <c r="A28" t="s">
        <v>384</v>
      </c>
      <c r="B28" s="28">
        <v>42931</v>
      </c>
      <c r="C28">
        <v>71517</v>
      </c>
      <c r="D28" s="31">
        <v>0.31180555555555556</v>
      </c>
      <c r="E28" s="24" t="s">
        <v>56</v>
      </c>
      <c r="F28" s="23" t="s">
        <v>26</v>
      </c>
      <c r="G28" s="23" t="s">
        <v>26</v>
      </c>
      <c r="H28" s="23" t="s">
        <v>26</v>
      </c>
      <c r="I28" s="24">
        <v>29.1</v>
      </c>
      <c r="J28" s="23">
        <v>0.99039999999999995</v>
      </c>
      <c r="K28" s="23">
        <v>99.1</v>
      </c>
      <c r="L28" s="23" t="s">
        <v>26</v>
      </c>
      <c r="M28" s="24">
        <v>1413</v>
      </c>
      <c r="N28" s="24">
        <v>3.98</v>
      </c>
      <c r="O28" s="24" t="s">
        <v>46</v>
      </c>
      <c r="P28" s="23" t="s">
        <v>26</v>
      </c>
      <c r="Q28" s="23" t="s">
        <v>26</v>
      </c>
      <c r="R28" s="23" t="s">
        <v>26</v>
      </c>
      <c r="S28" s="24" t="s">
        <v>90</v>
      </c>
    </row>
    <row r="29" spans="1:19" x14ac:dyDescent="0.2">
      <c r="A29" t="s">
        <v>384</v>
      </c>
      <c r="B29" s="28">
        <v>42931</v>
      </c>
      <c r="C29">
        <v>71517</v>
      </c>
      <c r="D29" s="32">
        <v>0.32500000000000001</v>
      </c>
      <c r="E29" s="24" t="s">
        <v>56</v>
      </c>
      <c r="F29" s="23" t="s">
        <v>26</v>
      </c>
      <c r="G29" s="23" t="s">
        <v>26</v>
      </c>
      <c r="H29" s="23" t="s">
        <v>26</v>
      </c>
      <c r="I29" s="24">
        <v>26</v>
      </c>
      <c r="J29" s="24" t="s">
        <v>26</v>
      </c>
      <c r="K29" s="24" t="s">
        <v>26</v>
      </c>
      <c r="L29" s="24" t="s">
        <v>26</v>
      </c>
      <c r="M29" s="24">
        <v>1419</v>
      </c>
      <c r="N29" s="24">
        <v>4</v>
      </c>
      <c r="O29" s="24" t="s">
        <v>48</v>
      </c>
      <c r="P29" s="23" t="s">
        <v>26</v>
      </c>
      <c r="Q29" s="23" t="s">
        <v>26</v>
      </c>
      <c r="R29" s="23" t="s">
        <v>26</v>
      </c>
      <c r="S29" s="24" t="s">
        <v>85</v>
      </c>
    </row>
    <row r="30" spans="1:19" x14ac:dyDescent="0.2">
      <c r="A30">
        <v>42</v>
      </c>
      <c r="B30" s="28">
        <v>42931</v>
      </c>
      <c r="C30">
        <v>71517</v>
      </c>
      <c r="D30" s="31">
        <v>0.43888888888888888</v>
      </c>
      <c r="E30" s="24" t="s">
        <v>91</v>
      </c>
      <c r="F30" s="23">
        <v>67.183239999999998</v>
      </c>
      <c r="G30" s="23">
        <v>135.80645999999999</v>
      </c>
      <c r="H30" s="23">
        <v>736</v>
      </c>
      <c r="I30" s="24">
        <v>3.7</v>
      </c>
      <c r="J30" s="24">
        <v>0.91510000000000002</v>
      </c>
      <c r="K30" s="24">
        <v>75.8</v>
      </c>
      <c r="L30" s="24">
        <v>9.99</v>
      </c>
      <c r="M30" s="24">
        <v>318.5</v>
      </c>
      <c r="N30" s="24">
        <v>5.99</v>
      </c>
      <c r="O30" s="24" t="s">
        <v>46</v>
      </c>
      <c r="P30" s="24" t="s">
        <v>44</v>
      </c>
      <c r="Q30" s="24">
        <v>0</v>
      </c>
      <c r="R30" s="24" t="s">
        <v>87</v>
      </c>
    </row>
    <row r="31" spans="1:19" x14ac:dyDescent="0.2">
      <c r="A31">
        <v>42</v>
      </c>
      <c r="B31" s="28">
        <v>42931</v>
      </c>
      <c r="C31">
        <v>71517</v>
      </c>
      <c r="D31" s="31">
        <v>0.46597222222222223</v>
      </c>
      <c r="E31" s="24" t="s">
        <v>91</v>
      </c>
      <c r="F31" s="23">
        <v>67.183239999999998</v>
      </c>
      <c r="G31" s="23">
        <v>135.80645999999999</v>
      </c>
      <c r="H31" s="23">
        <v>736</v>
      </c>
      <c r="I31" s="24">
        <v>3.7</v>
      </c>
      <c r="J31" s="24" t="s">
        <v>26</v>
      </c>
      <c r="K31" s="24" t="s">
        <v>26</v>
      </c>
      <c r="L31" s="24" t="s">
        <v>26</v>
      </c>
      <c r="M31" s="24">
        <v>348</v>
      </c>
      <c r="N31" s="24">
        <v>6.2</v>
      </c>
      <c r="O31" s="24" t="s">
        <v>48</v>
      </c>
      <c r="P31" s="24" t="s">
        <v>44</v>
      </c>
      <c r="Q31" s="24">
        <v>0</v>
      </c>
      <c r="R31" s="24" t="s">
        <v>87</v>
      </c>
      <c r="S31" s="24" t="s">
        <v>92</v>
      </c>
    </row>
    <row r="32" spans="1:19" x14ac:dyDescent="0.2">
      <c r="A32">
        <v>53</v>
      </c>
      <c r="B32" s="28">
        <v>42931</v>
      </c>
      <c r="C32">
        <v>71517</v>
      </c>
      <c r="D32" s="31">
        <v>0.53125</v>
      </c>
      <c r="E32" s="24" t="s">
        <v>93</v>
      </c>
      <c r="F32" s="23">
        <v>67.176130000000001</v>
      </c>
      <c r="G32" s="23">
        <v>135.76140000000001</v>
      </c>
      <c r="H32" s="23">
        <v>619</v>
      </c>
      <c r="I32" s="24">
        <v>12.7</v>
      </c>
      <c r="J32" s="23">
        <v>0.92310000000000003</v>
      </c>
      <c r="K32" s="23">
        <v>93.3</v>
      </c>
      <c r="L32" s="23">
        <v>9.83</v>
      </c>
      <c r="M32" s="24">
        <v>1802</v>
      </c>
      <c r="N32" s="24">
        <v>4.68</v>
      </c>
      <c r="O32" s="24" t="s">
        <v>46</v>
      </c>
      <c r="P32" s="24" t="s">
        <v>44</v>
      </c>
      <c r="Q32" s="24">
        <v>0</v>
      </c>
      <c r="R32" s="24" t="s">
        <v>78</v>
      </c>
    </row>
    <row r="33" spans="1:19" x14ac:dyDescent="0.2">
      <c r="A33">
        <v>53</v>
      </c>
      <c r="B33" s="28">
        <v>42931</v>
      </c>
      <c r="C33">
        <v>71517</v>
      </c>
      <c r="D33" s="31">
        <v>0.56944444444444442</v>
      </c>
      <c r="E33" s="24" t="s">
        <v>93</v>
      </c>
      <c r="F33" s="23">
        <v>67.176130000000001</v>
      </c>
      <c r="G33" s="23">
        <v>135.76140000000001</v>
      </c>
      <c r="H33" s="23">
        <v>619</v>
      </c>
      <c r="I33" s="24">
        <v>12.7</v>
      </c>
      <c r="J33" s="24" t="s">
        <v>26</v>
      </c>
      <c r="K33" s="24" t="s">
        <v>26</v>
      </c>
      <c r="L33" s="24" t="s">
        <v>26</v>
      </c>
      <c r="M33" s="24">
        <v>1868</v>
      </c>
      <c r="N33" s="24">
        <v>4.7</v>
      </c>
      <c r="O33" s="24" t="s">
        <v>48</v>
      </c>
      <c r="P33" s="24" t="s">
        <v>44</v>
      </c>
      <c r="Q33" s="24">
        <v>0</v>
      </c>
      <c r="R33" s="24" t="s">
        <v>78</v>
      </c>
    </row>
    <row r="34" spans="1:19" x14ac:dyDescent="0.2">
      <c r="A34" t="s">
        <v>384</v>
      </c>
      <c r="B34" s="28">
        <v>42933</v>
      </c>
      <c r="C34">
        <v>71717</v>
      </c>
      <c r="D34" s="31">
        <v>0.32013888888888892</v>
      </c>
      <c r="E34" s="24" t="s">
        <v>56</v>
      </c>
      <c r="F34" s="23" t="s">
        <v>26</v>
      </c>
      <c r="G34" s="23" t="s">
        <v>26</v>
      </c>
      <c r="H34" s="23" t="s">
        <v>26</v>
      </c>
      <c r="I34" s="24">
        <v>20.2</v>
      </c>
      <c r="J34" s="23">
        <v>1</v>
      </c>
      <c r="K34" s="23">
        <v>100</v>
      </c>
      <c r="L34" s="23">
        <v>9.07</v>
      </c>
      <c r="M34" s="24">
        <v>1413</v>
      </c>
      <c r="N34" s="23" t="s">
        <v>122</v>
      </c>
      <c r="O34" s="24" t="s">
        <v>46</v>
      </c>
      <c r="P34" s="23" t="s">
        <v>26</v>
      </c>
      <c r="Q34" s="23" t="s">
        <v>26</v>
      </c>
      <c r="R34" s="23" t="s">
        <v>26</v>
      </c>
      <c r="S34" s="23" t="s">
        <v>123</v>
      </c>
    </row>
    <row r="35" spans="1:19" x14ac:dyDescent="0.2">
      <c r="A35" t="s">
        <v>385</v>
      </c>
      <c r="B35" s="28">
        <v>42933</v>
      </c>
      <c r="C35">
        <v>71717</v>
      </c>
      <c r="D35" s="31">
        <v>0.44166666666666665</v>
      </c>
      <c r="E35" s="24" t="s">
        <v>119</v>
      </c>
      <c r="F35" s="23">
        <v>67.359219999999993</v>
      </c>
      <c r="G35" s="23">
        <v>135.3075</v>
      </c>
      <c r="H35" s="23">
        <v>758</v>
      </c>
      <c r="I35" s="24">
        <v>11</v>
      </c>
      <c r="J35" s="24">
        <v>0.98409999999999997</v>
      </c>
      <c r="K35" s="24">
        <v>100.8</v>
      </c>
      <c r="L35" s="24">
        <v>11.09</v>
      </c>
      <c r="M35" s="24">
        <v>1192</v>
      </c>
      <c r="N35" s="24">
        <v>6.13</v>
      </c>
      <c r="O35" s="24" t="s">
        <v>46</v>
      </c>
      <c r="P35" s="23" t="s">
        <v>26</v>
      </c>
      <c r="Q35" s="23" t="s">
        <v>26</v>
      </c>
      <c r="R35" s="23" t="s">
        <v>26</v>
      </c>
    </row>
    <row r="36" spans="1:19" x14ac:dyDescent="0.2">
      <c r="A36">
        <v>6</v>
      </c>
      <c r="B36" s="28">
        <v>42933</v>
      </c>
      <c r="C36">
        <v>71717</v>
      </c>
      <c r="D36" s="31">
        <v>0.48194444444444445</v>
      </c>
      <c r="E36" s="23" t="s">
        <v>121</v>
      </c>
      <c r="F36" s="23">
        <v>67.358890000000002</v>
      </c>
      <c r="G36" s="23">
        <v>135.30691999999999</v>
      </c>
      <c r="H36" s="23">
        <v>148</v>
      </c>
      <c r="I36" s="24">
        <v>8</v>
      </c>
      <c r="J36" s="24">
        <v>0.9839</v>
      </c>
      <c r="K36" s="24">
        <v>101</v>
      </c>
      <c r="L36" s="24">
        <v>11.87</v>
      </c>
      <c r="M36" s="24">
        <v>764</v>
      </c>
      <c r="N36" s="24">
        <v>6.98</v>
      </c>
      <c r="O36" s="24" t="s">
        <v>46</v>
      </c>
      <c r="P36" s="23" t="s">
        <v>26</v>
      </c>
      <c r="Q36" s="23" t="s">
        <v>26</v>
      </c>
      <c r="R36" s="23" t="s">
        <v>26</v>
      </c>
    </row>
    <row r="37" spans="1:19" x14ac:dyDescent="0.2">
      <c r="A37">
        <v>0</v>
      </c>
      <c r="B37" s="28">
        <v>42933</v>
      </c>
      <c r="C37">
        <v>71717</v>
      </c>
      <c r="D37" s="31">
        <v>0.60486111111111118</v>
      </c>
      <c r="E37" s="23" t="s">
        <v>120</v>
      </c>
      <c r="F37" s="23">
        <v>67.338909999999998</v>
      </c>
      <c r="G37" s="23">
        <v>135.90844999999999</v>
      </c>
      <c r="H37" s="23">
        <v>466</v>
      </c>
      <c r="I37" s="24">
        <v>14.8</v>
      </c>
      <c r="J37" s="24">
        <v>0.94630000000000003</v>
      </c>
      <c r="K37" s="24">
        <v>89</v>
      </c>
      <c r="L37" s="24">
        <v>8.9499999999999993</v>
      </c>
      <c r="M37" s="24">
        <v>624</v>
      </c>
      <c r="N37" s="24">
        <v>6.95</v>
      </c>
      <c r="O37" s="24" t="s">
        <v>46</v>
      </c>
      <c r="P37" s="23" t="s">
        <v>26</v>
      </c>
      <c r="Q37" s="23" t="s">
        <v>26</v>
      </c>
      <c r="R37" s="23" t="s">
        <v>26</v>
      </c>
    </row>
    <row r="38" spans="1:19" x14ac:dyDescent="0.2">
      <c r="A38" t="s">
        <v>384</v>
      </c>
      <c r="B38" s="28">
        <v>42936</v>
      </c>
      <c r="C38">
        <v>72017</v>
      </c>
      <c r="D38" s="31">
        <v>0.32500000000000001</v>
      </c>
      <c r="E38" s="24" t="s">
        <v>56</v>
      </c>
      <c r="F38" s="23" t="s">
        <v>26</v>
      </c>
      <c r="G38" s="23" t="s">
        <v>26</v>
      </c>
      <c r="H38" s="23" t="s">
        <v>26</v>
      </c>
      <c r="I38" s="24">
        <v>22</v>
      </c>
      <c r="J38" s="24">
        <v>0.98809999999999998</v>
      </c>
      <c r="K38" s="24">
        <v>98.5</v>
      </c>
      <c r="L38" s="24" t="s">
        <v>106</v>
      </c>
      <c r="M38" s="24">
        <v>1413</v>
      </c>
      <c r="N38" s="24" t="s">
        <v>154</v>
      </c>
      <c r="O38" s="24" t="s">
        <v>46</v>
      </c>
      <c r="P38" s="23" t="s">
        <v>26</v>
      </c>
      <c r="Q38" s="23" t="s">
        <v>26</v>
      </c>
      <c r="R38" s="23" t="s">
        <v>26</v>
      </c>
      <c r="S38" s="24" t="s">
        <v>155</v>
      </c>
    </row>
    <row r="39" spans="1:19" x14ac:dyDescent="0.2">
      <c r="A39">
        <v>36</v>
      </c>
      <c r="B39" s="28">
        <v>42936</v>
      </c>
      <c r="C39">
        <v>72017</v>
      </c>
      <c r="D39" s="31">
        <v>0.42777777777777781</v>
      </c>
      <c r="E39" s="25" t="s">
        <v>167</v>
      </c>
      <c r="F39" s="26">
        <v>67.279120000000006</v>
      </c>
      <c r="G39" s="26">
        <v>135.67836</v>
      </c>
      <c r="H39" s="27">
        <v>45</v>
      </c>
      <c r="I39" s="24">
        <v>12.3</v>
      </c>
      <c r="J39" s="24">
        <v>0.94310000000000005</v>
      </c>
      <c r="K39" s="24">
        <v>91.3</v>
      </c>
      <c r="L39" s="24">
        <v>9.74</v>
      </c>
      <c r="M39" s="24">
        <v>519.9</v>
      </c>
      <c r="N39" s="24">
        <v>5.35</v>
      </c>
      <c r="O39" s="24" t="s">
        <v>46</v>
      </c>
      <c r="P39" s="23" t="s">
        <v>26</v>
      </c>
      <c r="Q39" s="23" t="s">
        <v>26</v>
      </c>
      <c r="R39" s="23" t="s">
        <v>26</v>
      </c>
      <c r="S39" s="24" t="s">
        <v>181</v>
      </c>
    </row>
    <row r="40" spans="1:19" x14ac:dyDescent="0.2">
      <c r="A40">
        <v>37</v>
      </c>
      <c r="B40" s="28">
        <v>42936</v>
      </c>
      <c r="C40">
        <v>72017</v>
      </c>
      <c r="D40" s="31">
        <v>0.4548611111111111</v>
      </c>
      <c r="E40" s="24" t="s">
        <v>166</v>
      </c>
      <c r="F40" s="23">
        <v>67.27955</v>
      </c>
      <c r="G40" s="23">
        <v>135.67536999999999</v>
      </c>
      <c r="H40" s="23">
        <v>425</v>
      </c>
      <c r="I40" s="24">
        <v>13.3</v>
      </c>
      <c r="J40" s="24">
        <v>0.94279999999999997</v>
      </c>
      <c r="K40" s="24">
        <v>97.6</v>
      </c>
      <c r="L40" s="24">
        <v>10.220000000000001</v>
      </c>
      <c r="M40" s="24">
        <v>508.1</v>
      </c>
      <c r="N40" s="24">
        <v>6.2</v>
      </c>
      <c r="O40" s="24" t="s">
        <v>46</v>
      </c>
      <c r="P40" s="23" t="s">
        <v>26</v>
      </c>
      <c r="Q40" s="23" t="s">
        <v>26</v>
      </c>
      <c r="R40" s="23" t="s">
        <v>26</v>
      </c>
    </row>
    <row r="41" spans="1:19" x14ac:dyDescent="0.2">
      <c r="A41">
        <v>23</v>
      </c>
      <c r="B41" s="28">
        <v>42936</v>
      </c>
      <c r="C41">
        <v>72017</v>
      </c>
      <c r="D41" s="31">
        <v>0.50277777777777777</v>
      </c>
      <c r="E41" s="24" t="s">
        <v>164</v>
      </c>
      <c r="F41" s="23">
        <v>67.422939999999997</v>
      </c>
      <c r="G41" s="23">
        <v>135.76846</v>
      </c>
      <c r="H41" s="23">
        <v>505</v>
      </c>
      <c r="I41" s="24">
        <v>17</v>
      </c>
      <c r="J41" s="24">
        <v>0.93369999999999997</v>
      </c>
      <c r="K41" s="24">
        <v>93.1</v>
      </c>
      <c r="L41" s="24">
        <v>8.9499999999999993</v>
      </c>
      <c r="M41" s="24">
        <v>1301</v>
      </c>
      <c r="N41" s="24">
        <v>6.93</v>
      </c>
      <c r="O41" s="24" t="s">
        <v>46</v>
      </c>
      <c r="P41" s="23" t="s">
        <v>26</v>
      </c>
      <c r="Q41" s="23" t="s">
        <v>26</v>
      </c>
      <c r="R41" s="23" t="s">
        <v>26</v>
      </c>
    </row>
    <row r="42" spans="1:19" x14ac:dyDescent="0.2">
      <c r="A42">
        <v>24</v>
      </c>
      <c r="B42" s="28">
        <v>42936</v>
      </c>
      <c r="C42">
        <v>72017</v>
      </c>
      <c r="D42" s="31">
        <v>0.52500000000000002</v>
      </c>
      <c r="E42" s="24" t="s">
        <v>163</v>
      </c>
      <c r="F42" s="23">
        <v>67.422809999999998</v>
      </c>
      <c r="G42" s="23">
        <v>135.7681</v>
      </c>
      <c r="H42" s="23">
        <v>508</v>
      </c>
      <c r="I42" s="24">
        <v>11.5</v>
      </c>
      <c r="J42" s="24">
        <v>0.93369999999999997</v>
      </c>
      <c r="K42" s="24">
        <v>83.5</v>
      </c>
      <c r="L42" s="24">
        <v>9.1</v>
      </c>
      <c r="M42" s="24">
        <v>609.20000000000005</v>
      </c>
      <c r="N42" s="24">
        <v>7.1</v>
      </c>
      <c r="O42" s="24" t="s">
        <v>46</v>
      </c>
      <c r="P42" s="23" t="s">
        <v>26</v>
      </c>
      <c r="Q42" s="23" t="s">
        <v>26</v>
      </c>
      <c r="R42" s="23" t="s">
        <v>26</v>
      </c>
    </row>
    <row r="43" spans="1:19" x14ac:dyDescent="0.2">
      <c r="A43">
        <v>38</v>
      </c>
      <c r="B43" s="28">
        <v>42936</v>
      </c>
      <c r="C43">
        <v>72017</v>
      </c>
      <c r="D43" s="31">
        <v>0.57986111111111105</v>
      </c>
      <c r="E43" s="24" t="s">
        <v>162</v>
      </c>
      <c r="F43" s="23">
        <v>67.369640000000004</v>
      </c>
      <c r="G43" s="23">
        <v>135.65767</v>
      </c>
      <c r="H43" s="23">
        <v>379</v>
      </c>
      <c r="I43" s="24">
        <v>15.3</v>
      </c>
      <c r="J43" s="24">
        <v>0.94669999999999999</v>
      </c>
      <c r="K43" s="24">
        <v>91.3</v>
      </c>
      <c r="L43" s="24">
        <v>9.16</v>
      </c>
      <c r="M43" s="24">
        <v>232.3</v>
      </c>
      <c r="N43" s="24">
        <v>7.2</v>
      </c>
      <c r="O43" s="24" t="s">
        <v>46</v>
      </c>
      <c r="P43" s="23" t="s">
        <v>26</v>
      </c>
      <c r="Q43" s="23" t="s">
        <v>26</v>
      </c>
      <c r="R43" s="23" t="s">
        <v>26</v>
      </c>
    </row>
    <row r="44" spans="1:19" x14ac:dyDescent="0.2">
      <c r="A44">
        <v>35</v>
      </c>
      <c r="B44" s="28">
        <v>42936</v>
      </c>
      <c r="C44">
        <v>72017</v>
      </c>
      <c r="D44" s="31">
        <v>0.6</v>
      </c>
      <c r="E44" s="24" t="s">
        <v>161</v>
      </c>
      <c r="F44" s="26">
        <v>67.166690000000003</v>
      </c>
      <c r="G44" s="26">
        <v>135.8998</v>
      </c>
      <c r="H44" s="27">
        <v>705</v>
      </c>
      <c r="I44" s="24">
        <v>15.2</v>
      </c>
      <c r="J44" s="24">
        <v>0.94610000000000005</v>
      </c>
      <c r="K44" s="24">
        <v>92.4</v>
      </c>
      <c r="L44" s="24">
        <v>9.1300000000000008</v>
      </c>
      <c r="M44" s="24">
        <v>85.7</v>
      </c>
      <c r="N44" s="24">
        <v>7.09</v>
      </c>
      <c r="O44" s="24" t="s">
        <v>46</v>
      </c>
      <c r="P44" s="23" t="s">
        <v>26</v>
      </c>
      <c r="Q44" s="23" t="s">
        <v>26</v>
      </c>
      <c r="R44" s="23" t="s">
        <v>26</v>
      </c>
      <c r="S44" s="24" t="s">
        <v>182</v>
      </c>
    </row>
    <row r="45" spans="1:19" x14ac:dyDescent="0.2">
      <c r="A45">
        <v>29</v>
      </c>
      <c r="B45" s="28">
        <v>42936</v>
      </c>
      <c r="C45">
        <v>72017</v>
      </c>
      <c r="D45" s="31">
        <v>0.64583333333333337</v>
      </c>
      <c r="E45" s="24" t="s">
        <v>165</v>
      </c>
      <c r="F45" s="23">
        <v>67.363290000000006</v>
      </c>
      <c r="G45" s="23">
        <v>136.04463000000001</v>
      </c>
      <c r="H45" s="23">
        <v>595</v>
      </c>
      <c r="I45" s="24">
        <v>10.8</v>
      </c>
      <c r="J45" s="24">
        <v>0.92269999999999996</v>
      </c>
      <c r="K45" s="24">
        <v>102.8</v>
      </c>
      <c r="L45" s="24">
        <v>11.32</v>
      </c>
      <c r="M45" s="24">
        <v>248.6</v>
      </c>
      <c r="N45" s="24">
        <v>7.03</v>
      </c>
      <c r="O45" s="24" t="s">
        <v>46</v>
      </c>
      <c r="P45" s="23" t="s">
        <v>26</v>
      </c>
      <c r="Q45" s="23" t="s">
        <v>26</v>
      </c>
      <c r="R45" s="23" t="s">
        <v>26</v>
      </c>
    </row>
    <row r="46" spans="1:19" x14ac:dyDescent="0.2">
      <c r="A46" t="s">
        <v>384</v>
      </c>
      <c r="B46" s="28">
        <v>42938</v>
      </c>
      <c r="C46">
        <v>72217</v>
      </c>
      <c r="D46" s="31">
        <v>0.3215277777777778</v>
      </c>
      <c r="E46" s="24" t="s">
        <v>56</v>
      </c>
      <c r="F46" s="23" t="s">
        <v>26</v>
      </c>
      <c r="G46" s="23" t="s">
        <v>26</v>
      </c>
      <c r="H46" s="23" t="s">
        <v>26</v>
      </c>
      <c r="I46" s="23" t="s">
        <v>26</v>
      </c>
      <c r="J46" s="24">
        <v>99.2</v>
      </c>
      <c r="K46" s="23" t="s">
        <v>26</v>
      </c>
      <c r="L46" s="24" t="s">
        <v>106</v>
      </c>
      <c r="M46" s="24">
        <v>1415</v>
      </c>
      <c r="N46" s="24">
        <v>4.03</v>
      </c>
      <c r="O46" s="24" t="s">
        <v>46</v>
      </c>
      <c r="P46" s="23" t="s">
        <v>26</v>
      </c>
      <c r="Q46" s="23" t="s">
        <v>26</v>
      </c>
      <c r="R46" s="23" t="s">
        <v>26</v>
      </c>
      <c r="S46" s="24" t="s">
        <v>225</v>
      </c>
    </row>
    <row r="47" spans="1:19" x14ac:dyDescent="0.2">
      <c r="A47">
        <v>14</v>
      </c>
      <c r="B47" s="28">
        <v>42938</v>
      </c>
      <c r="C47">
        <v>72217</v>
      </c>
      <c r="D47" s="31">
        <v>0.43055555555555558</v>
      </c>
      <c r="E47" s="24" t="s">
        <v>226</v>
      </c>
      <c r="F47" s="23">
        <v>67.340280000000007</v>
      </c>
      <c r="G47" s="23">
        <v>135.07568000000001</v>
      </c>
      <c r="H47" s="23">
        <v>52</v>
      </c>
      <c r="I47" s="23">
        <v>6</v>
      </c>
      <c r="J47" s="24">
        <v>0.99060000000000004</v>
      </c>
      <c r="K47" s="23">
        <v>102.8</v>
      </c>
      <c r="L47" s="24">
        <v>12.75</v>
      </c>
      <c r="M47" s="24">
        <v>512.29999999999995</v>
      </c>
      <c r="N47" s="24">
        <v>6.96</v>
      </c>
      <c r="O47" s="24" t="s">
        <v>46</v>
      </c>
      <c r="P47" s="24" t="s">
        <v>44</v>
      </c>
      <c r="Q47" s="24">
        <v>10</v>
      </c>
      <c r="R47" s="24" t="s">
        <v>80</v>
      </c>
    </row>
    <row r="48" spans="1:19" x14ac:dyDescent="0.2">
      <c r="A48">
        <v>3</v>
      </c>
      <c r="B48" s="28">
        <v>42938</v>
      </c>
      <c r="C48">
        <v>72217</v>
      </c>
      <c r="D48" s="31">
        <v>0.49027777777777781</v>
      </c>
      <c r="E48" s="24" t="s">
        <v>227</v>
      </c>
      <c r="F48" s="23">
        <v>67.284409999999994</v>
      </c>
      <c r="G48" s="23">
        <v>136.00156000000001</v>
      </c>
      <c r="H48" s="23">
        <v>615</v>
      </c>
      <c r="I48" s="23">
        <v>6.6</v>
      </c>
      <c r="J48" s="24">
        <v>0.92510000000000003</v>
      </c>
      <c r="K48" s="23">
        <v>92.2</v>
      </c>
      <c r="L48" s="24">
        <v>11.32</v>
      </c>
      <c r="M48" s="24">
        <v>382.1</v>
      </c>
      <c r="N48" s="24">
        <v>6.28</v>
      </c>
      <c r="O48" s="24" t="s">
        <v>46</v>
      </c>
      <c r="P48" s="24" t="s">
        <v>44</v>
      </c>
      <c r="Q48" s="24">
        <v>10</v>
      </c>
      <c r="R48" s="24" t="s">
        <v>80</v>
      </c>
    </row>
    <row r="49" spans="1:19" x14ac:dyDescent="0.2">
      <c r="A49">
        <v>19</v>
      </c>
      <c r="B49" s="28">
        <v>42938</v>
      </c>
      <c r="C49">
        <v>72217</v>
      </c>
      <c r="D49" s="31">
        <v>0.5493055555555556</v>
      </c>
      <c r="E49" s="24" t="s">
        <v>228</v>
      </c>
      <c r="F49" s="23">
        <v>67.284630000000007</v>
      </c>
      <c r="G49" s="23">
        <v>135.81267</v>
      </c>
      <c r="H49" s="23">
        <v>559</v>
      </c>
      <c r="I49" s="23">
        <v>6.7</v>
      </c>
      <c r="J49" s="24">
        <v>0.93179999999999996</v>
      </c>
      <c r="K49" s="23">
        <v>94.7</v>
      </c>
      <c r="L49" s="24">
        <v>11.58</v>
      </c>
      <c r="M49" s="24">
        <v>243</v>
      </c>
      <c r="N49" s="24">
        <v>5.31</v>
      </c>
      <c r="O49" s="24" t="s">
        <v>46</v>
      </c>
      <c r="P49" s="24" t="s">
        <v>75</v>
      </c>
      <c r="Q49" s="24">
        <v>90</v>
      </c>
      <c r="R49" s="24" t="s">
        <v>78</v>
      </c>
      <c r="S49" s="24" t="s">
        <v>233</v>
      </c>
    </row>
    <row r="50" spans="1:19" x14ac:dyDescent="0.2">
      <c r="A50">
        <v>20</v>
      </c>
      <c r="B50" s="28">
        <v>42938</v>
      </c>
      <c r="C50">
        <v>72217</v>
      </c>
      <c r="D50" s="31">
        <v>0.58402777777777781</v>
      </c>
      <c r="E50" s="24" t="s">
        <v>229</v>
      </c>
      <c r="F50" s="23">
        <v>67.284319999999994</v>
      </c>
      <c r="G50" s="23">
        <v>135.811577</v>
      </c>
      <c r="H50" s="23">
        <v>548</v>
      </c>
      <c r="I50" s="23">
        <v>7.8</v>
      </c>
      <c r="J50" s="24">
        <v>0.93200000000000005</v>
      </c>
      <c r="K50" s="23">
        <v>90.6</v>
      </c>
      <c r="L50" s="24">
        <v>10.77</v>
      </c>
      <c r="M50" s="24">
        <v>239.8</v>
      </c>
      <c r="N50" s="24">
        <v>6.3</v>
      </c>
      <c r="O50" s="24" t="s">
        <v>46</v>
      </c>
      <c r="P50" s="24" t="s">
        <v>75</v>
      </c>
      <c r="Q50" s="24">
        <v>90</v>
      </c>
      <c r="R50" s="24" t="s">
        <v>78</v>
      </c>
      <c r="S50" s="24" t="s">
        <v>233</v>
      </c>
    </row>
    <row r="51" spans="1:19" x14ac:dyDescent="0.2">
      <c r="A51">
        <v>5</v>
      </c>
      <c r="B51" s="28">
        <v>42938</v>
      </c>
      <c r="C51">
        <v>72217</v>
      </c>
      <c r="D51" s="31">
        <v>0.64930555555555558</v>
      </c>
      <c r="E51" s="24" t="s">
        <v>230</v>
      </c>
      <c r="F51" s="23">
        <v>67.295490000000001</v>
      </c>
      <c r="G51" s="23">
        <v>135.80799999999999</v>
      </c>
      <c r="H51" s="23">
        <v>509</v>
      </c>
      <c r="I51" s="23">
        <v>7.2</v>
      </c>
      <c r="J51" s="24">
        <v>0.98580000000000001</v>
      </c>
      <c r="K51" s="23">
        <v>93</v>
      </c>
      <c r="L51" s="24">
        <v>11.12</v>
      </c>
      <c r="M51" s="24">
        <v>160.80000000000001</v>
      </c>
      <c r="N51" s="24">
        <v>6.71</v>
      </c>
      <c r="O51" s="24" t="s">
        <v>46</v>
      </c>
      <c r="P51" s="24" t="s">
        <v>75</v>
      </c>
      <c r="Q51" s="24">
        <v>75</v>
      </c>
      <c r="R51" s="24" t="s">
        <v>78</v>
      </c>
    </row>
    <row r="52" spans="1:19" x14ac:dyDescent="0.2">
      <c r="A52">
        <v>8</v>
      </c>
      <c r="B52" s="28">
        <v>42938</v>
      </c>
      <c r="C52">
        <v>72217</v>
      </c>
      <c r="D52" s="31">
        <v>0.66805555555555562</v>
      </c>
      <c r="E52" s="24" t="s">
        <v>231</v>
      </c>
      <c r="F52" s="23">
        <v>67.337329999999994</v>
      </c>
      <c r="G52" s="23">
        <v>135.91872000000001</v>
      </c>
      <c r="H52" s="23">
        <v>490</v>
      </c>
      <c r="I52" s="23">
        <v>8.3000000000000007</v>
      </c>
      <c r="J52" s="24">
        <v>0.93789999999999996</v>
      </c>
      <c r="K52" s="23">
        <v>95.2</v>
      </c>
      <c r="L52" s="24">
        <v>11.2</v>
      </c>
      <c r="M52" s="24">
        <v>203.2</v>
      </c>
      <c r="N52" s="24">
        <v>7</v>
      </c>
      <c r="O52" s="24" t="s">
        <v>46</v>
      </c>
      <c r="P52" s="24" t="s">
        <v>75</v>
      </c>
      <c r="Q52" s="24" t="s">
        <v>106</v>
      </c>
      <c r="R52" s="24" t="s">
        <v>106</v>
      </c>
    </row>
    <row r="53" spans="1:19" x14ac:dyDescent="0.2">
      <c r="A53">
        <v>10</v>
      </c>
      <c r="B53" s="28">
        <v>42938</v>
      </c>
      <c r="C53">
        <v>72217</v>
      </c>
      <c r="D53" s="31">
        <v>0.71944444444444444</v>
      </c>
      <c r="E53" s="24" t="s">
        <v>232</v>
      </c>
      <c r="F53" s="23">
        <v>67.270799999999994</v>
      </c>
      <c r="G53" s="23">
        <v>135.37079</v>
      </c>
      <c r="H53" s="23">
        <v>241</v>
      </c>
      <c r="I53" s="23">
        <v>10.199999999999999</v>
      </c>
      <c r="J53" s="24">
        <v>0.96599999999999997</v>
      </c>
      <c r="K53" s="23">
        <v>95.7</v>
      </c>
      <c r="L53" s="24">
        <v>10.72</v>
      </c>
      <c r="M53" s="24">
        <v>376.3</v>
      </c>
      <c r="N53" s="24">
        <v>7.36</v>
      </c>
      <c r="O53" s="24" t="s">
        <v>46</v>
      </c>
      <c r="P53" s="24" t="s">
        <v>75</v>
      </c>
      <c r="Q53" s="24" t="s">
        <v>106</v>
      </c>
      <c r="R53" s="24" t="s">
        <v>106</v>
      </c>
    </row>
    <row r="54" spans="1:19" x14ac:dyDescent="0.2">
      <c r="A54">
        <v>32</v>
      </c>
      <c r="B54" s="28">
        <v>42945</v>
      </c>
      <c r="C54">
        <v>72917</v>
      </c>
      <c r="D54" s="31">
        <v>0.45347222222222222</v>
      </c>
      <c r="E54" s="24" t="s">
        <v>280</v>
      </c>
      <c r="F54" s="23">
        <v>67.167230000000004</v>
      </c>
      <c r="G54" s="23">
        <v>135.89722</v>
      </c>
      <c r="H54" s="23">
        <v>663</v>
      </c>
      <c r="I54" s="23">
        <v>6.5</v>
      </c>
      <c r="J54" s="23" t="s">
        <v>26</v>
      </c>
      <c r="K54" s="23" t="s">
        <v>26</v>
      </c>
      <c r="L54" s="23" t="s">
        <v>26</v>
      </c>
      <c r="M54" s="24">
        <v>1038</v>
      </c>
      <c r="N54" s="24">
        <v>6</v>
      </c>
      <c r="O54" s="24" t="s">
        <v>48</v>
      </c>
      <c r="P54" s="24" t="s">
        <v>44</v>
      </c>
      <c r="Q54" s="24">
        <v>5</v>
      </c>
      <c r="R54" s="24" t="s">
        <v>80</v>
      </c>
      <c r="S54" s="24" t="s">
        <v>284</v>
      </c>
    </row>
    <row r="55" spans="1:19" x14ac:dyDescent="0.2">
      <c r="A55">
        <v>31</v>
      </c>
      <c r="B55" s="28">
        <v>42945</v>
      </c>
      <c r="C55">
        <v>72917</v>
      </c>
      <c r="D55" s="31">
        <v>0.5444444444444444</v>
      </c>
      <c r="E55" s="24" t="s">
        <v>281</v>
      </c>
      <c r="F55" s="23">
        <v>67.167230000000004</v>
      </c>
      <c r="G55" s="23">
        <v>135.89769000000001</v>
      </c>
      <c r="H55" s="23">
        <v>650</v>
      </c>
      <c r="I55" s="23">
        <v>9.6</v>
      </c>
      <c r="J55" s="23" t="s">
        <v>26</v>
      </c>
      <c r="K55" s="23" t="s">
        <v>26</v>
      </c>
      <c r="L55" s="23" t="s">
        <v>26</v>
      </c>
      <c r="M55" s="24">
        <v>1376</v>
      </c>
      <c r="N55" s="24">
        <v>6.1</v>
      </c>
      <c r="O55" s="24" t="s">
        <v>48</v>
      </c>
      <c r="P55" s="24" t="s">
        <v>44</v>
      </c>
      <c r="Q55" s="24">
        <v>5</v>
      </c>
      <c r="R55" s="24" t="s">
        <v>80</v>
      </c>
      <c r="S55" s="24" t="s">
        <v>284</v>
      </c>
    </row>
    <row r="56" spans="1:19" x14ac:dyDescent="0.2">
      <c r="A56">
        <v>57</v>
      </c>
      <c r="B56" s="28">
        <v>42946</v>
      </c>
      <c r="C56">
        <v>73017</v>
      </c>
      <c r="D56" s="31">
        <v>0.49305555555555558</v>
      </c>
      <c r="E56" s="24" t="s">
        <v>282</v>
      </c>
      <c r="F56" s="23">
        <v>67.263180000000006</v>
      </c>
      <c r="G56" s="23">
        <v>135.21682999999999</v>
      </c>
      <c r="H56" s="23">
        <v>239</v>
      </c>
      <c r="I56" s="23">
        <v>8</v>
      </c>
      <c r="J56" s="23" t="s">
        <v>26</v>
      </c>
      <c r="K56" s="23" t="s">
        <v>26</v>
      </c>
      <c r="L56" s="23" t="s">
        <v>26</v>
      </c>
      <c r="M56" s="24">
        <v>955</v>
      </c>
      <c r="N56" s="24">
        <v>7.6</v>
      </c>
      <c r="O56" s="24" t="s">
        <v>48</v>
      </c>
      <c r="P56" s="24" t="s">
        <v>44</v>
      </c>
      <c r="Q56" s="24">
        <v>10</v>
      </c>
      <c r="R56" s="24" t="s">
        <v>78</v>
      </c>
    </row>
    <row r="57" spans="1:19" x14ac:dyDescent="0.2">
      <c r="A57">
        <v>7</v>
      </c>
      <c r="B57" s="28">
        <v>42946</v>
      </c>
      <c r="C57">
        <v>73017</v>
      </c>
      <c r="D57" s="31">
        <v>0.59513888888888888</v>
      </c>
      <c r="E57" s="24" t="s">
        <v>283</v>
      </c>
      <c r="F57" s="23">
        <v>67.257750000000001</v>
      </c>
      <c r="G57" s="23">
        <v>135.23974999999999</v>
      </c>
      <c r="H57" s="23">
        <v>278</v>
      </c>
      <c r="I57" s="23">
        <v>17.3</v>
      </c>
      <c r="J57" s="23">
        <v>0.96870000000000001</v>
      </c>
      <c r="K57" s="23">
        <v>100.9</v>
      </c>
      <c r="L57" s="23">
        <v>9.67</v>
      </c>
      <c r="M57" s="24">
        <v>566.5</v>
      </c>
      <c r="N57" s="24">
        <v>7.4</v>
      </c>
      <c r="O57" s="24" t="s">
        <v>46</v>
      </c>
      <c r="P57" s="24" t="s">
        <v>44</v>
      </c>
      <c r="Q57" s="24">
        <v>10</v>
      </c>
      <c r="R57" s="24" t="s">
        <v>78</v>
      </c>
    </row>
    <row r="58" spans="1:19" x14ac:dyDescent="0.2">
      <c r="A58" t="s">
        <v>384</v>
      </c>
      <c r="B58" s="28">
        <v>42946</v>
      </c>
      <c r="C58">
        <v>73017</v>
      </c>
      <c r="D58" s="31">
        <v>0.35902777777777778</v>
      </c>
      <c r="E58" s="24" t="s">
        <v>56</v>
      </c>
      <c r="F58" s="23" t="s">
        <v>26</v>
      </c>
      <c r="G58" s="23" t="s">
        <v>26</v>
      </c>
      <c r="H58" s="23" t="s">
        <v>26</v>
      </c>
      <c r="I58" s="23">
        <v>24.1</v>
      </c>
      <c r="J58" s="23" t="s">
        <v>26</v>
      </c>
      <c r="K58" s="23" t="s">
        <v>26</v>
      </c>
      <c r="L58" s="23" t="s">
        <v>26</v>
      </c>
      <c r="M58" s="23" t="s">
        <v>26</v>
      </c>
      <c r="N58" s="24">
        <v>3.94</v>
      </c>
      <c r="O58" s="24" t="s">
        <v>46</v>
      </c>
      <c r="P58" s="23" t="s">
        <v>26</v>
      </c>
      <c r="Q58" s="23" t="s">
        <v>26</v>
      </c>
      <c r="R58" s="23" t="s">
        <v>26</v>
      </c>
    </row>
    <row r="59" spans="1:19" x14ac:dyDescent="0.2">
      <c r="A59" t="s">
        <v>384</v>
      </c>
      <c r="B59" s="28">
        <v>42946</v>
      </c>
      <c r="C59">
        <v>73017</v>
      </c>
      <c r="D59" s="31">
        <v>0.35902777777777778</v>
      </c>
      <c r="E59" s="24" t="s">
        <v>56</v>
      </c>
      <c r="F59" s="23" t="s">
        <v>26</v>
      </c>
      <c r="G59" s="23" t="s">
        <v>26</v>
      </c>
      <c r="H59" s="23" t="s">
        <v>26</v>
      </c>
      <c r="I59" s="23" t="s">
        <v>26</v>
      </c>
      <c r="J59" s="23" t="s">
        <v>26</v>
      </c>
      <c r="K59" s="23" t="s">
        <v>26</v>
      </c>
      <c r="L59" s="23" t="s">
        <v>26</v>
      </c>
      <c r="M59" s="23">
        <v>1413</v>
      </c>
      <c r="N59" s="24">
        <v>4</v>
      </c>
      <c r="O59" s="24" t="s">
        <v>48</v>
      </c>
      <c r="P59" s="23" t="s">
        <v>26</v>
      </c>
      <c r="Q59" s="23" t="s">
        <v>26</v>
      </c>
      <c r="R59" s="23" t="s">
        <v>26</v>
      </c>
    </row>
    <row r="60" spans="1:19" x14ac:dyDescent="0.2">
      <c r="A60">
        <v>32</v>
      </c>
      <c r="B60" s="28">
        <v>42948</v>
      </c>
      <c r="C60">
        <v>80117</v>
      </c>
      <c r="D60" s="31">
        <v>0.47500000000000003</v>
      </c>
      <c r="E60" s="24" t="s">
        <v>280</v>
      </c>
      <c r="F60" s="23">
        <v>67.167829999999995</v>
      </c>
      <c r="G60" s="23">
        <v>135.89722</v>
      </c>
      <c r="H60" s="23">
        <v>663</v>
      </c>
      <c r="I60" s="23">
        <v>10.1</v>
      </c>
      <c r="J60" s="23">
        <v>0.93159999999999998</v>
      </c>
      <c r="K60" s="23">
        <v>96.7</v>
      </c>
      <c r="L60" s="23">
        <v>10.87</v>
      </c>
      <c r="M60" s="23">
        <v>1078</v>
      </c>
      <c r="N60" s="24">
        <v>5.46</v>
      </c>
      <c r="O60" s="24" t="s">
        <v>46</v>
      </c>
      <c r="P60" s="24" t="s">
        <v>44</v>
      </c>
      <c r="Q60" s="24">
        <v>10</v>
      </c>
      <c r="R60" s="24" t="s">
        <v>78</v>
      </c>
    </row>
    <row r="61" spans="1:19" x14ac:dyDescent="0.2">
      <c r="A61">
        <v>32</v>
      </c>
      <c r="B61" s="28">
        <v>42948</v>
      </c>
      <c r="C61">
        <v>80117</v>
      </c>
      <c r="D61" s="31">
        <v>0.47500000000000003</v>
      </c>
      <c r="E61" s="24" t="s">
        <v>280</v>
      </c>
      <c r="F61" s="23">
        <v>67.167829999999995</v>
      </c>
      <c r="G61" s="23">
        <v>135.89722</v>
      </c>
      <c r="H61" s="23">
        <v>663</v>
      </c>
      <c r="I61" s="23">
        <v>10</v>
      </c>
      <c r="J61" s="23" t="s">
        <v>26</v>
      </c>
      <c r="K61" s="23" t="s">
        <v>26</v>
      </c>
      <c r="L61" s="23" t="s">
        <v>26</v>
      </c>
      <c r="M61" s="23">
        <v>1113</v>
      </c>
      <c r="N61" s="24">
        <v>6.2</v>
      </c>
      <c r="O61" s="24" t="s">
        <v>48</v>
      </c>
      <c r="P61" s="24" t="s">
        <v>44</v>
      </c>
      <c r="Q61" s="24">
        <v>10</v>
      </c>
      <c r="R61" s="24" t="s">
        <v>78</v>
      </c>
    </row>
    <row r="62" spans="1:19" x14ac:dyDescent="0.2">
      <c r="A62">
        <v>31</v>
      </c>
      <c r="B62" s="28">
        <v>42948</v>
      </c>
      <c r="C62">
        <v>80117</v>
      </c>
      <c r="D62" s="31">
        <v>0.49513888888888885</v>
      </c>
      <c r="E62" s="24" t="s">
        <v>281</v>
      </c>
      <c r="F62" s="23">
        <v>67.167230000000004</v>
      </c>
      <c r="G62" s="23">
        <v>135.89769000000001</v>
      </c>
      <c r="H62" s="23">
        <v>650</v>
      </c>
      <c r="I62" s="23">
        <v>9.3000000000000007</v>
      </c>
      <c r="J62" s="23" t="s">
        <v>26</v>
      </c>
      <c r="K62" s="23" t="s">
        <v>26</v>
      </c>
      <c r="L62" s="23" t="s">
        <v>26</v>
      </c>
      <c r="M62" s="23">
        <v>1493</v>
      </c>
      <c r="N62" s="24">
        <v>6.1</v>
      </c>
      <c r="O62" s="24" t="s">
        <v>48</v>
      </c>
      <c r="P62" s="24" t="s">
        <v>44</v>
      </c>
      <c r="Q62" s="24">
        <v>10</v>
      </c>
      <c r="R62" s="24" t="s">
        <v>78</v>
      </c>
    </row>
    <row r="63" spans="1:19" x14ac:dyDescent="0.2">
      <c r="A63">
        <v>31</v>
      </c>
      <c r="B63" s="28">
        <v>42948</v>
      </c>
      <c r="C63">
        <v>80117</v>
      </c>
      <c r="D63" s="31">
        <v>0.49513888888888885</v>
      </c>
      <c r="E63" s="24" t="s">
        <v>281</v>
      </c>
      <c r="F63" s="23">
        <v>67.167230000000004</v>
      </c>
      <c r="G63" s="23">
        <v>135.89769000000001</v>
      </c>
      <c r="H63" s="23">
        <v>650</v>
      </c>
      <c r="I63" s="23">
        <v>9.3000000000000007</v>
      </c>
      <c r="J63" s="23">
        <v>0.93179999999999996</v>
      </c>
      <c r="K63" s="23">
        <v>97.4</v>
      </c>
      <c r="L63" s="23">
        <v>11.12</v>
      </c>
      <c r="M63" s="23">
        <v>1466</v>
      </c>
      <c r="N63" s="24">
        <v>5.74</v>
      </c>
      <c r="O63" s="24" t="s">
        <v>46</v>
      </c>
      <c r="P63" s="24" t="s">
        <v>44</v>
      </c>
      <c r="Q63" s="24">
        <v>10</v>
      </c>
      <c r="R63" s="24" t="s">
        <v>78</v>
      </c>
    </row>
    <row r="64" spans="1:19" x14ac:dyDescent="0.2">
      <c r="A64" t="s">
        <v>384</v>
      </c>
      <c r="B64" s="28">
        <v>42949</v>
      </c>
      <c r="C64">
        <v>80217</v>
      </c>
      <c r="D64" s="31">
        <v>0.32847222222222222</v>
      </c>
      <c r="E64" s="24" t="s">
        <v>56</v>
      </c>
      <c r="F64" s="23" t="s">
        <v>26</v>
      </c>
      <c r="G64" s="23" t="s">
        <v>26</v>
      </c>
      <c r="H64" s="23" t="s">
        <v>26</v>
      </c>
      <c r="I64" s="23">
        <v>9.3000000000000007</v>
      </c>
      <c r="J64" s="23" t="s">
        <v>26</v>
      </c>
      <c r="K64" s="23">
        <v>100</v>
      </c>
      <c r="L64" s="23" t="s">
        <v>26</v>
      </c>
      <c r="M64" s="23">
        <v>1415</v>
      </c>
      <c r="N64" s="23" t="s">
        <v>26</v>
      </c>
      <c r="O64" s="24" t="s">
        <v>46</v>
      </c>
      <c r="P64" s="23" t="s">
        <v>26</v>
      </c>
      <c r="Q64" s="23" t="s">
        <v>26</v>
      </c>
      <c r="R64" s="23" t="s">
        <v>26</v>
      </c>
      <c r="S64" s="24" t="s">
        <v>286</v>
      </c>
    </row>
    <row r="65" spans="1:19" x14ac:dyDescent="0.2">
      <c r="A65" t="s">
        <v>384</v>
      </c>
      <c r="B65" s="28">
        <v>42949</v>
      </c>
      <c r="C65">
        <v>80217</v>
      </c>
      <c r="D65" s="31">
        <v>0.34722222222222227</v>
      </c>
      <c r="E65" s="24" t="s">
        <v>56</v>
      </c>
      <c r="F65" s="23" t="s">
        <v>26</v>
      </c>
      <c r="G65" s="23" t="s">
        <v>26</v>
      </c>
      <c r="H65" s="23" t="s">
        <v>26</v>
      </c>
      <c r="I65" s="23">
        <v>23.1</v>
      </c>
      <c r="J65" s="23" t="s">
        <v>26</v>
      </c>
      <c r="K65" s="23" t="s">
        <v>26</v>
      </c>
      <c r="L65" s="23" t="s">
        <v>26</v>
      </c>
      <c r="M65" s="23">
        <v>1414</v>
      </c>
      <c r="N65" s="24" t="s">
        <v>285</v>
      </c>
      <c r="O65" s="24" t="s">
        <v>48</v>
      </c>
      <c r="P65" s="23" t="s">
        <v>26</v>
      </c>
      <c r="Q65" s="23" t="s">
        <v>26</v>
      </c>
      <c r="R65" s="23" t="s">
        <v>26</v>
      </c>
      <c r="S65" s="24" t="s">
        <v>286</v>
      </c>
    </row>
    <row r="66" spans="1:19" x14ac:dyDescent="0.2">
      <c r="A66" t="s">
        <v>384</v>
      </c>
      <c r="B66" s="28">
        <v>42950</v>
      </c>
      <c r="C66">
        <v>80317</v>
      </c>
      <c r="D66" s="31">
        <v>0.32291666666666669</v>
      </c>
      <c r="E66" s="24" t="s">
        <v>56</v>
      </c>
      <c r="F66" s="23" t="s">
        <v>26</v>
      </c>
      <c r="G66" s="23" t="s">
        <v>26</v>
      </c>
      <c r="H66" s="23" t="s">
        <v>26</v>
      </c>
      <c r="I66" s="24" t="s">
        <v>26</v>
      </c>
      <c r="J66" s="23" t="s">
        <v>26</v>
      </c>
      <c r="K66" s="23" t="s">
        <v>26</v>
      </c>
      <c r="L66" s="23" t="s">
        <v>26</v>
      </c>
      <c r="M66" s="23">
        <v>1411</v>
      </c>
      <c r="N66" s="24">
        <v>3.96</v>
      </c>
      <c r="O66" s="24" t="s">
        <v>46</v>
      </c>
      <c r="P66" s="23" t="s">
        <v>26</v>
      </c>
      <c r="Q66" s="23" t="s">
        <v>26</v>
      </c>
      <c r="R66" s="23" t="s">
        <v>26</v>
      </c>
    </row>
    <row r="67" spans="1:19" x14ac:dyDescent="0.2">
      <c r="A67" t="s">
        <v>384</v>
      </c>
      <c r="B67" s="28">
        <v>42950</v>
      </c>
      <c r="C67">
        <v>80317</v>
      </c>
      <c r="D67" s="31">
        <v>0.33333333333333331</v>
      </c>
      <c r="E67" s="24" t="s">
        <v>56</v>
      </c>
      <c r="F67" s="23" t="s">
        <v>26</v>
      </c>
      <c r="G67" s="23" t="s">
        <v>26</v>
      </c>
      <c r="H67" s="23" t="s">
        <v>26</v>
      </c>
      <c r="I67" s="24">
        <v>23.2</v>
      </c>
      <c r="J67" s="23" t="s">
        <v>26</v>
      </c>
      <c r="K67" s="23" t="s">
        <v>26</v>
      </c>
      <c r="L67" s="23" t="s">
        <v>26</v>
      </c>
      <c r="M67" s="23">
        <v>1412</v>
      </c>
      <c r="N67" s="24" t="s">
        <v>301</v>
      </c>
      <c r="O67" s="24" t="s">
        <v>48</v>
      </c>
      <c r="P67" s="23" t="s">
        <v>26</v>
      </c>
      <c r="Q67" s="23" t="s">
        <v>26</v>
      </c>
      <c r="R67" s="23" t="s">
        <v>26</v>
      </c>
    </row>
    <row r="68" spans="1:19" x14ac:dyDescent="0.2">
      <c r="A68">
        <v>1</v>
      </c>
      <c r="B68" s="28">
        <v>42950</v>
      </c>
      <c r="C68">
        <v>80317</v>
      </c>
      <c r="D68" s="31">
        <v>0.43888888888888888</v>
      </c>
      <c r="E68" s="24" t="s">
        <v>302</v>
      </c>
      <c r="F68" s="23">
        <v>67.131119999999996</v>
      </c>
      <c r="G68" s="23">
        <v>136.05009000000001</v>
      </c>
      <c r="H68" s="23">
        <v>753</v>
      </c>
      <c r="I68" s="24">
        <v>5.3</v>
      </c>
      <c r="J68" s="24">
        <v>0.92800000000000005</v>
      </c>
      <c r="K68" s="24">
        <v>91.7</v>
      </c>
      <c r="L68" s="24">
        <v>11.6</v>
      </c>
      <c r="M68" s="24">
        <v>144.1</v>
      </c>
      <c r="N68" s="24">
        <v>5.12</v>
      </c>
      <c r="O68" s="24" t="s">
        <v>46</v>
      </c>
      <c r="P68" s="24" t="s">
        <v>75</v>
      </c>
      <c r="Q68" s="24">
        <v>75</v>
      </c>
      <c r="R68" s="24" t="s">
        <v>78</v>
      </c>
    </row>
    <row r="69" spans="1:19" x14ac:dyDescent="0.2">
      <c r="A69">
        <v>1</v>
      </c>
      <c r="B69" s="28">
        <v>42950</v>
      </c>
      <c r="C69">
        <v>80317</v>
      </c>
      <c r="D69" s="31">
        <v>0.44305555555555554</v>
      </c>
      <c r="E69" s="24" t="s">
        <v>302</v>
      </c>
      <c r="F69" s="23">
        <v>67.131119999999996</v>
      </c>
      <c r="G69" s="23">
        <v>136.05009000000001</v>
      </c>
      <c r="H69" s="23">
        <v>753</v>
      </c>
      <c r="I69" s="24">
        <v>5.3</v>
      </c>
      <c r="J69" s="23" t="s">
        <v>26</v>
      </c>
      <c r="K69" s="23" t="s">
        <v>26</v>
      </c>
      <c r="L69" s="23" t="s">
        <v>26</v>
      </c>
      <c r="M69" s="24">
        <v>156</v>
      </c>
      <c r="N69" s="23">
        <v>6.2</v>
      </c>
      <c r="O69" s="24" t="s">
        <v>48</v>
      </c>
      <c r="P69" s="24" t="s">
        <v>75</v>
      </c>
      <c r="Q69" s="24">
        <v>75</v>
      </c>
      <c r="R69" s="24" t="s">
        <v>78</v>
      </c>
    </row>
    <row r="70" spans="1:19" x14ac:dyDescent="0.2">
      <c r="A70">
        <v>45</v>
      </c>
      <c r="B70" s="28">
        <v>42950</v>
      </c>
      <c r="C70">
        <v>80317</v>
      </c>
      <c r="D70" s="31">
        <v>0.53819444444444442</v>
      </c>
      <c r="E70" t="s">
        <v>363</v>
      </c>
      <c r="F70" s="23">
        <v>67.124009999999998</v>
      </c>
      <c r="G70" s="23">
        <v>136.08082999999999</v>
      </c>
      <c r="H70" s="23">
        <v>647</v>
      </c>
      <c r="I70" s="24">
        <v>11</v>
      </c>
      <c r="J70" s="24">
        <v>0.93</v>
      </c>
      <c r="K70" s="24">
        <v>92.6</v>
      </c>
      <c r="L70" s="24">
        <v>10.15</v>
      </c>
      <c r="M70" s="24">
        <v>1509</v>
      </c>
      <c r="N70" s="24">
        <v>4.03</v>
      </c>
      <c r="O70" s="24" t="s">
        <v>46</v>
      </c>
      <c r="P70" s="24" t="s">
        <v>75</v>
      </c>
      <c r="Q70" s="24">
        <v>75</v>
      </c>
      <c r="R70" s="24" t="s">
        <v>45</v>
      </c>
    </row>
    <row r="71" spans="1:19" x14ac:dyDescent="0.2">
      <c r="A71">
        <v>45</v>
      </c>
      <c r="B71" s="28">
        <v>42950</v>
      </c>
      <c r="C71">
        <v>80317</v>
      </c>
      <c r="D71" s="31">
        <v>0.53819444444444442</v>
      </c>
      <c r="E71" t="s">
        <v>363</v>
      </c>
      <c r="F71" s="23">
        <v>67.124009999999998</v>
      </c>
      <c r="G71" s="23">
        <v>136.08082999999999</v>
      </c>
      <c r="H71" s="23">
        <v>647</v>
      </c>
      <c r="I71" s="24">
        <v>11</v>
      </c>
      <c r="J71" s="23" t="s">
        <v>26</v>
      </c>
      <c r="K71" s="23" t="s">
        <v>26</v>
      </c>
      <c r="L71" s="23" t="s">
        <v>26</v>
      </c>
      <c r="M71" s="24">
        <v>1548</v>
      </c>
      <c r="N71" s="24">
        <v>4.5999999999999996</v>
      </c>
      <c r="O71" s="24" t="s">
        <v>48</v>
      </c>
      <c r="P71" s="24" t="s">
        <v>75</v>
      </c>
      <c r="Q71" s="24">
        <v>75</v>
      </c>
      <c r="R71" s="24" t="s">
        <v>45</v>
      </c>
    </row>
    <row r="72" spans="1:19" x14ac:dyDescent="0.2">
      <c r="A72" t="s">
        <v>384</v>
      </c>
      <c r="B72" s="28">
        <v>42951</v>
      </c>
      <c r="C72">
        <v>80417</v>
      </c>
      <c r="D72" s="31">
        <v>0.32361111111111113</v>
      </c>
      <c r="E72" s="24" t="s">
        <v>56</v>
      </c>
      <c r="F72" s="23" t="s">
        <v>26</v>
      </c>
      <c r="G72" s="23" t="s">
        <v>26</v>
      </c>
      <c r="H72" s="23" t="s">
        <v>26</v>
      </c>
      <c r="I72" s="24" t="s">
        <v>26</v>
      </c>
      <c r="J72" s="23">
        <v>99.9</v>
      </c>
      <c r="K72" s="23" t="s">
        <v>26</v>
      </c>
      <c r="L72" s="23" t="s">
        <v>26</v>
      </c>
      <c r="M72" s="24">
        <v>1414</v>
      </c>
      <c r="N72" s="24">
        <v>3.96</v>
      </c>
      <c r="O72" s="24" t="s">
        <v>46</v>
      </c>
      <c r="P72" s="23" t="s">
        <v>26</v>
      </c>
      <c r="Q72" s="23" t="s">
        <v>26</v>
      </c>
      <c r="R72" s="23" t="s">
        <v>26</v>
      </c>
    </row>
    <row r="73" spans="1:19" x14ac:dyDescent="0.2">
      <c r="A73" t="s">
        <v>384</v>
      </c>
      <c r="B73" s="28">
        <v>42951</v>
      </c>
      <c r="C73">
        <v>80417</v>
      </c>
      <c r="D73" s="31">
        <v>0.32361111111111113</v>
      </c>
      <c r="E73" s="24" t="s">
        <v>56</v>
      </c>
      <c r="F73" s="23" t="s">
        <v>26</v>
      </c>
      <c r="G73" s="23" t="s">
        <v>26</v>
      </c>
      <c r="H73" s="23" t="s">
        <v>26</v>
      </c>
      <c r="I73" s="24">
        <v>23.3</v>
      </c>
      <c r="J73" s="24" t="s">
        <v>26</v>
      </c>
      <c r="K73" s="23" t="s">
        <v>26</v>
      </c>
      <c r="L73" s="23" t="s">
        <v>26</v>
      </c>
      <c r="M73" s="24">
        <v>1413</v>
      </c>
      <c r="N73" s="24" t="s">
        <v>301</v>
      </c>
      <c r="O73" s="24" t="s">
        <v>48</v>
      </c>
      <c r="P73" s="23" t="s">
        <v>26</v>
      </c>
      <c r="Q73" s="23" t="s">
        <v>26</v>
      </c>
      <c r="R73" s="23" t="s">
        <v>26</v>
      </c>
    </row>
    <row r="74" spans="1:19" x14ac:dyDescent="0.2">
      <c r="A74" t="s">
        <v>384</v>
      </c>
      <c r="B74" s="28">
        <v>42952</v>
      </c>
      <c r="C74">
        <v>80517</v>
      </c>
      <c r="D74" s="32"/>
      <c r="E74" s="24" t="s">
        <v>56</v>
      </c>
      <c r="F74" s="23" t="s">
        <v>26</v>
      </c>
      <c r="G74" s="23" t="s">
        <v>26</v>
      </c>
      <c r="H74" s="23" t="s">
        <v>26</v>
      </c>
      <c r="I74" s="23" t="s">
        <v>26</v>
      </c>
      <c r="J74" s="23" t="s">
        <v>26</v>
      </c>
      <c r="K74" s="23" t="s">
        <v>26</v>
      </c>
      <c r="L74" s="23" t="s">
        <v>26</v>
      </c>
      <c r="M74" s="24">
        <v>1413</v>
      </c>
      <c r="N74" s="24">
        <v>3.97</v>
      </c>
      <c r="O74" s="24" t="s">
        <v>46</v>
      </c>
      <c r="P74" s="23" t="s">
        <v>26</v>
      </c>
      <c r="Q74" s="23" t="s">
        <v>26</v>
      </c>
      <c r="R74" s="23" t="s">
        <v>26</v>
      </c>
    </row>
    <row r="75" spans="1:19" x14ac:dyDescent="0.2">
      <c r="A75" t="s">
        <v>384</v>
      </c>
      <c r="B75" s="28">
        <v>42952</v>
      </c>
      <c r="C75">
        <v>80517</v>
      </c>
      <c r="D75" s="31">
        <v>0.32430555555555557</v>
      </c>
      <c r="E75" s="24" t="s">
        <v>56</v>
      </c>
      <c r="F75" s="23" t="s">
        <v>26</v>
      </c>
      <c r="G75" s="23" t="s">
        <v>26</v>
      </c>
      <c r="H75" s="23" t="s">
        <v>26</v>
      </c>
      <c r="I75" s="23">
        <v>20.399999999999999</v>
      </c>
      <c r="J75" s="23" t="s">
        <v>26</v>
      </c>
      <c r="K75" s="23" t="s">
        <v>26</v>
      </c>
      <c r="L75" s="23" t="s">
        <v>26</v>
      </c>
      <c r="M75" s="24">
        <v>1412</v>
      </c>
      <c r="N75" s="24" t="s">
        <v>301</v>
      </c>
      <c r="O75" s="24" t="s">
        <v>48</v>
      </c>
      <c r="P75" s="23" t="s">
        <v>26</v>
      </c>
      <c r="Q75" s="23" t="s">
        <v>26</v>
      </c>
      <c r="R75" s="23" t="s">
        <v>26</v>
      </c>
    </row>
    <row r="76" spans="1:19" x14ac:dyDescent="0.2">
      <c r="A76">
        <v>71</v>
      </c>
      <c r="B76" s="28">
        <v>42952</v>
      </c>
      <c r="C76">
        <v>80517</v>
      </c>
      <c r="D76" s="31">
        <v>0.4826388888888889</v>
      </c>
      <c r="E76" s="24" t="s">
        <v>303</v>
      </c>
      <c r="F76" s="23">
        <v>67.199359999999999</v>
      </c>
      <c r="G76" s="23">
        <v>135.6806</v>
      </c>
      <c r="H76" s="23">
        <v>471</v>
      </c>
      <c r="I76" s="23">
        <v>6.9</v>
      </c>
      <c r="J76" s="23">
        <v>0.95479999999999998</v>
      </c>
      <c r="K76" s="23">
        <v>92.5</v>
      </c>
      <c r="L76" s="23">
        <v>11.27</v>
      </c>
      <c r="M76" s="24">
        <v>100.9</v>
      </c>
      <c r="N76" s="24">
        <v>5.92</v>
      </c>
      <c r="O76" s="24" t="s">
        <v>46</v>
      </c>
      <c r="P76" s="23" t="s">
        <v>75</v>
      </c>
      <c r="Q76" s="23">
        <v>95</v>
      </c>
      <c r="R76" s="23" t="s">
        <v>80</v>
      </c>
      <c r="S76" s="23" t="s">
        <v>324</v>
      </c>
    </row>
    <row r="77" spans="1:19" x14ac:dyDescent="0.2">
      <c r="A77">
        <v>71</v>
      </c>
      <c r="B77" s="28">
        <v>42952</v>
      </c>
      <c r="C77">
        <v>80517</v>
      </c>
      <c r="D77" s="31">
        <v>0.4826388888888889</v>
      </c>
      <c r="E77" s="24" t="s">
        <v>303</v>
      </c>
      <c r="F77" s="23">
        <v>67.199359999999999</v>
      </c>
      <c r="G77" s="23">
        <v>135.6806</v>
      </c>
      <c r="H77" s="23">
        <v>471</v>
      </c>
      <c r="I77" s="23">
        <v>6.9</v>
      </c>
      <c r="J77" s="23" t="s">
        <v>26</v>
      </c>
      <c r="K77" s="23" t="s">
        <v>26</v>
      </c>
      <c r="L77" s="23" t="s">
        <v>26</v>
      </c>
      <c r="M77" s="24">
        <v>108</v>
      </c>
      <c r="N77" s="24">
        <v>7.4</v>
      </c>
      <c r="O77" s="24" t="s">
        <v>48</v>
      </c>
      <c r="P77" s="23" t="s">
        <v>75</v>
      </c>
      <c r="Q77" s="23">
        <v>96</v>
      </c>
      <c r="R77" s="23" t="s">
        <v>80</v>
      </c>
      <c r="S77" s="23" t="s">
        <v>324</v>
      </c>
    </row>
    <row r="78" spans="1:19" x14ac:dyDescent="0.2">
      <c r="A78">
        <v>62</v>
      </c>
      <c r="B78" s="28">
        <v>42952</v>
      </c>
      <c r="C78">
        <v>80517</v>
      </c>
      <c r="D78" s="31">
        <v>0.54375000000000007</v>
      </c>
      <c r="E78" s="24" t="s">
        <v>304</v>
      </c>
      <c r="F78" s="23">
        <v>67.219639999999998</v>
      </c>
      <c r="G78" s="23">
        <v>135.50515999999999</v>
      </c>
      <c r="H78" s="23">
        <v>347</v>
      </c>
      <c r="I78" s="23">
        <v>7.6</v>
      </c>
      <c r="J78" s="23">
        <v>0.96860000000000002</v>
      </c>
      <c r="K78" s="23">
        <v>83</v>
      </c>
      <c r="L78" s="23">
        <v>9.92</v>
      </c>
      <c r="M78" s="23">
        <v>52.9</v>
      </c>
      <c r="N78" s="23">
        <v>5.16</v>
      </c>
      <c r="O78" s="24" t="s">
        <v>46</v>
      </c>
      <c r="P78" s="23" t="s">
        <v>75</v>
      </c>
      <c r="Q78" s="23">
        <v>97</v>
      </c>
      <c r="R78" s="23" t="s">
        <v>80</v>
      </c>
      <c r="S78" s="23" t="s">
        <v>324</v>
      </c>
    </row>
    <row r="79" spans="1:19" x14ac:dyDescent="0.2">
      <c r="A79">
        <v>62</v>
      </c>
      <c r="B79" s="28">
        <v>42952</v>
      </c>
      <c r="C79">
        <v>80517</v>
      </c>
      <c r="D79" s="31">
        <v>0.54652777777777783</v>
      </c>
      <c r="E79" s="24" t="s">
        <v>304</v>
      </c>
      <c r="F79" s="23">
        <v>67.219639999999998</v>
      </c>
      <c r="G79" s="23">
        <v>135.50515999999999</v>
      </c>
      <c r="H79" s="23">
        <v>347</v>
      </c>
      <c r="I79" s="23">
        <v>7.5</v>
      </c>
      <c r="J79" s="24" t="s">
        <v>26</v>
      </c>
      <c r="K79" s="24" t="s">
        <v>26</v>
      </c>
      <c r="L79" s="24" t="s">
        <v>26</v>
      </c>
      <c r="M79" s="23">
        <v>56</v>
      </c>
      <c r="N79" s="23">
        <v>5.9</v>
      </c>
      <c r="O79" s="24" t="s">
        <v>48</v>
      </c>
      <c r="P79" s="23" t="s">
        <v>75</v>
      </c>
      <c r="Q79" s="23">
        <v>98</v>
      </c>
      <c r="R79" s="23" t="s">
        <v>80</v>
      </c>
      <c r="S79" s="23" t="s">
        <v>324</v>
      </c>
    </row>
    <row r="80" spans="1:19" x14ac:dyDescent="0.2">
      <c r="A80" t="s">
        <v>384</v>
      </c>
      <c r="B80" s="28">
        <v>42954</v>
      </c>
      <c r="C80">
        <v>80717</v>
      </c>
      <c r="D80" s="31">
        <v>0.32569444444444445</v>
      </c>
      <c r="E80" s="24" t="s">
        <v>56</v>
      </c>
      <c r="F80" s="23" t="s">
        <v>26</v>
      </c>
      <c r="G80" s="23" t="s">
        <v>26</v>
      </c>
      <c r="H80" s="24" t="s">
        <v>26</v>
      </c>
      <c r="I80" s="24" t="s">
        <v>26</v>
      </c>
      <c r="J80" s="23" t="s">
        <v>26</v>
      </c>
      <c r="K80" s="23" t="s">
        <v>26</v>
      </c>
      <c r="L80" s="23" t="s">
        <v>26</v>
      </c>
      <c r="M80" s="23">
        <v>1414</v>
      </c>
      <c r="N80" s="23">
        <v>4</v>
      </c>
      <c r="O80" s="24" t="s">
        <v>46</v>
      </c>
      <c r="P80" s="23" t="s">
        <v>26</v>
      </c>
      <c r="Q80" s="23" t="s">
        <v>26</v>
      </c>
      <c r="R80" s="23" t="s">
        <v>26</v>
      </c>
    </row>
    <row r="81" spans="1:19" x14ac:dyDescent="0.2">
      <c r="A81" t="s">
        <v>384</v>
      </c>
      <c r="B81" s="28">
        <v>42954</v>
      </c>
      <c r="C81">
        <v>80717</v>
      </c>
      <c r="D81" s="31">
        <v>0.32777777777777778</v>
      </c>
      <c r="E81" s="24" t="s">
        <v>56</v>
      </c>
      <c r="F81" s="23" t="s">
        <v>26</v>
      </c>
      <c r="G81" s="23" t="s">
        <v>26</v>
      </c>
      <c r="H81" s="24" t="s">
        <v>26</v>
      </c>
      <c r="I81" s="24" t="s">
        <v>26</v>
      </c>
      <c r="J81" s="23" t="s">
        <v>26</v>
      </c>
      <c r="K81" s="23" t="s">
        <v>26</v>
      </c>
      <c r="L81" s="23" t="s">
        <v>26</v>
      </c>
      <c r="M81" s="23">
        <v>1415</v>
      </c>
      <c r="N81" s="23">
        <v>4</v>
      </c>
      <c r="O81" s="24" t="s">
        <v>48</v>
      </c>
      <c r="P81" s="23" t="s">
        <v>26</v>
      </c>
      <c r="Q81" s="23" t="s">
        <v>26</v>
      </c>
      <c r="R81" s="23" t="s">
        <v>26</v>
      </c>
    </row>
    <row r="82" spans="1:19" x14ac:dyDescent="0.2">
      <c r="A82" t="s">
        <v>383</v>
      </c>
      <c r="B82" s="28">
        <v>42954</v>
      </c>
      <c r="C82">
        <v>80717</v>
      </c>
      <c r="D82" s="31">
        <v>0.46180555555555558</v>
      </c>
      <c r="E82" s="24" t="s">
        <v>25</v>
      </c>
      <c r="F82" s="23">
        <v>67.388220000000004</v>
      </c>
      <c r="G82" s="23">
        <v>134.92104</v>
      </c>
      <c r="H82" s="24">
        <v>3</v>
      </c>
      <c r="I82" s="24">
        <v>15.6</v>
      </c>
      <c r="J82" s="23" t="s">
        <v>26</v>
      </c>
      <c r="K82" s="23" t="s">
        <v>26</v>
      </c>
      <c r="L82" s="23" t="s">
        <v>26</v>
      </c>
      <c r="M82" s="23">
        <v>505</v>
      </c>
      <c r="N82" s="23">
        <v>7.4</v>
      </c>
      <c r="O82" s="24" t="s">
        <v>48</v>
      </c>
      <c r="P82" s="24" t="s">
        <v>44</v>
      </c>
      <c r="Q82" s="23">
        <v>5</v>
      </c>
      <c r="R82" s="24" t="s">
        <v>78</v>
      </c>
      <c r="S82" s="24" t="s">
        <v>305</v>
      </c>
    </row>
    <row r="83" spans="1:19" x14ac:dyDescent="0.2">
      <c r="A83" t="s">
        <v>383</v>
      </c>
      <c r="B83" s="28">
        <v>42954</v>
      </c>
      <c r="C83">
        <v>80717</v>
      </c>
      <c r="D83" s="31">
        <v>0.47361111111111115</v>
      </c>
      <c r="E83" s="24" t="s">
        <v>25</v>
      </c>
      <c r="F83" s="23">
        <v>67.388220000000004</v>
      </c>
      <c r="G83" s="23">
        <v>134.92104</v>
      </c>
      <c r="H83" s="24">
        <v>3</v>
      </c>
      <c r="I83" s="24">
        <v>15.7</v>
      </c>
      <c r="J83" s="23">
        <v>0.99850000000000005</v>
      </c>
      <c r="K83" s="23">
        <v>97.3</v>
      </c>
      <c r="L83" s="23">
        <v>9.6300000000000008</v>
      </c>
      <c r="M83" s="23">
        <v>489.7</v>
      </c>
      <c r="N83" s="23">
        <v>6.98</v>
      </c>
      <c r="O83" s="24" t="s">
        <v>46</v>
      </c>
      <c r="P83" s="24" t="s">
        <v>44</v>
      </c>
      <c r="Q83" s="23">
        <v>5</v>
      </c>
      <c r="R83" s="24" t="s">
        <v>78</v>
      </c>
      <c r="S83" s="24" t="s">
        <v>305</v>
      </c>
    </row>
    <row r="84" spans="1:19" x14ac:dyDescent="0.2">
      <c r="A84" t="s">
        <v>383</v>
      </c>
      <c r="B84" s="28">
        <v>42954</v>
      </c>
      <c r="C84">
        <v>80717</v>
      </c>
      <c r="D84" s="31">
        <v>0.52013888888888882</v>
      </c>
      <c r="E84" s="24" t="s">
        <v>39</v>
      </c>
      <c r="F84" s="24" t="s">
        <v>26</v>
      </c>
      <c r="G84" s="24" t="s">
        <v>26</v>
      </c>
      <c r="H84" s="24" t="s">
        <v>26</v>
      </c>
      <c r="I84" s="24">
        <v>15.9</v>
      </c>
      <c r="J84" s="23">
        <v>0.99760000000000004</v>
      </c>
      <c r="K84" s="23">
        <v>96</v>
      </c>
      <c r="L84" s="23">
        <v>9.4700000000000006</v>
      </c>
      <c r="M84" s="23">
        <v>489.9</v>
      </c>
      <c r="N84" s="23">
        <v>7.46</v>
      </c>
      <c r="O84" s="24" t="s">
        <v>46</v>
      </c>
      <c r="P84" s="24" t="s">
        <v>44</v>
      </c>
      <c r="Q84" s="23">
        <v>5</v>
      </c>
      <c r="R84" s="24" t="s">
        <v>78</v>
      </c>
      <c r="S84" s="24" t="s">
        <v>306</v>
      </c>
    </row>
    <row r="85" spans="1:19" x14ac:dyDescent="0.2">
      <c r="A85" t="s">
        <v>384</v>
      </c>
      <c r="B85" s="28">
        <v>42955</v>
      </c>
      <c r="C85">
        <v>80817</v>
      </c>
      <c r="D85" s="31">
        <v>0.31527777777777777</v>
      </c>
      <c r="E85" s="24" t="s">
        <v>56</v>
      </c>
      <c r="F85" s="24" t="s">
        <v>26</v>
      </c>
      <c r="G85" s="24" t="s">
        <v>26</v>
      </c>
      <c r="H85" s="24" t="s">
        <v>26</v>
      </c>
      <c r="I85" s="24">
        <v>24.6</v>
      </c>
      <c r="J85" s="23">
        <v>0.99580000000000002</v>
      </c>
      <c r="K85" s="23">
        <v>99.9</v>
      </c>
      <c r="L85" s="23">
        <v>8.27</v>
      </c>
      <c r="M85" s="23">
        <v>1414</v>
      </c>
      <c r="N85" s="23">
        <v>3.97</v>
      </c>
      <c r="O85" s="24" t="s">
        <v>46</v>
      </c>
      <c r="P85" s="23" t="s">
        <v>26</v>
      </c>
      <c r="Q85" s="23" t="s">
        <v>26</v>
      </c>
      <c r="R85" s="23" t="s">
        <v>26</v>
      </c>
    </row>
    <row r="86" spans="1:19" x14ac:dyDescent="0.2">
      <c r="A86" t="s">
        <v>384</v>
      </c>
      <c r="B86" s="28">
        <v>42955</v>
      </c>
      <c r="C86">
        <v>80817</v>
      </c>
      <c r="D86" s="31">
        <v>0.33194444444444443</v>
      </c>
      <c r="E86" s="24" t="s">
        <v>56</v>
      </c>
      <c r="F86" s="24" t="s">
        <v>26</v>
      </c>
      <c r="G86" s="24" t="s">
        <v>26</v>
      </c>
      <c r="H86" s="24" t="s">
        <v>26</v>
      </c>
      <c r="I86" s="24">
        <v>25.5</v>
      </c>
      <c r="J86" s="23" t="s">
        <v>26</v>
      </c>
      <c r="K86" s="23" t="s">
        <v>26</v>
      </c>
      <c r="L86" s="23" t="s">
        <v>26</v>
      </c>
      <c r="M86" s="23">
        <v>1414</v>
      </c>
      <c r="N86" s="24" t="s">
        <v>301</v>
      </c>
      <c r="O86" s="24" t="s">
        <v>48</v>
      </c>
      <c r="P86" s="23" t="s">
        <v>26</v>
      </c>
      <c r="Q86" s="23" t="s">
        <v>26</v>
      </c>
      <c r="R86" s="23" t="s">
        <v>26</v>
      </c>
    </row>
    <row r="87" spans="1:19" x14ac:dyDescent="0.2">
      <c r="A87" t="s">
        <v>384</v>
      </c>
      <c r="B87" s="28">
        <v>42956</v>
      </c>
      <c r="C87">
        <v>80917</v>
      </c>
      <c r="D87" s="31">
        <v>0.30833333333333335</v>
      </c>
      <c r="E87" s="24" t="s">
        <v>56</v>
      </c>
      <c r="F87" s="24" t="s">
        <v>26</v>
      </c>
      <c r="G87" s="24" t="s">
        <v>26</v>
      </c>
      <c r="H87" s="24" t="s">
        <v>26</v>
      </c>
      <c r="I87" s="24">
        <v>23.3</v>
      </c>
      <c r="J87" s="23">
        <v>0.99770000000000003</v>
      </c>
      <c r="K87" s="23">
        <v>99.8</v>
      </c>
      <c r="L87" s="23">
        <v>8.51</v>
      </c>
      <c r="M87" s="23">
        <v>1413</v>
      </c>
      <c r="N87" s="24">
        <v>4.05</v>
      </c>
      <c r="O87" s="24" t="s">
        <v>46</v>
      </c>
      <c r="P87" s="23" t="s">
        <v>26</v>
      </c>
      <c r="Q87" s="23" t="s">
        <v>26</v>
      </c>
      <c r="R87" s="23" t="s">
        <v>26</v>
      </c>
    </row>
    <row r="88" spans="1:19" x14ac:dyDescent="0.2">
      <c r="A88" t="s">
        <v>384</v>
      </c>
      <c r="B88" s="28">
        <v>42956</v>
      </c>
      <c r="C88">
        <v>80917</v>
      </c>
      <c r="D88" s="31">
        <v>0.32569444444444445</v>
      </c>
      <c r="E88" s="24" t="s">
        <v>56</v>
      </c>
      <c r="F88" s="24" t="s">
        <v>26</v>
      </c>
      <c r="G88" s="24" t="s">
        <v>26</v>
      </c>
      <c r="H88" s="24" t="s">
        <v>26</v>
      </c>
      <c r="I88" s="24">
        <v>24.3</v>
      </c>
      <c r="J88" s="24" t="s">
        <v>26</v>
      </c>
      <c r="K88" s="24" t="s">
        <v>26</v>
      </c>
      <c r="L88" s="24" t="s">
        <v>26</v>
      </c>
      <c r="M88" s="23">
        <v>1412</v>
      </c>
      <c r="N88" s="24" t="s">
        <v>301</v>
      </c>
      <c r="O88" s="24" t="s">
        <v>48</v>
      </c>
      <c r="P88" s="23" t="s">
        <v>26</v>
      </c>
      <c r="Q88" s="23" t="s">
        <v>26</v>
      </c>
      <c r="R88" s="23" t="s">
        <v>26</v>
      </c>
    </row>
    <row r="89" spans="1:19" x14ac:dyDescent="0.2">
      <c r="A89" s="29" t="s">
        <v>386</v>
      </c>
      <c r="B89" s="28">
        <v>42956</v>
      </c>
      <c r="C89">
        <v>80917</v>
      </c>
      <c r="D89" s="31">
        <v>0.46319444444444446</v>
      </c>
      <c r="E89" s="24" t="s">
        <v>321</v>
      </c>
      <c r="F89" s="23">
        <v>67.270200000000003</v>
      </c>
      <c r="G89" s="23">
        <v>135.07634999999999</v>
      </c>
      <c r="H89" s="23">
        <v>322</v>
      </c>
      <c r="I89" s="24">
        <v>13.3</v>
      </c>
      <c r="J89" s="24">
        <v>0.96330000000000005</v>
      </c>
      <c r="K89" s="24">
        <v>56.6</v>
      </c>
      <c r="L89" s="24">
        <v>5.9</v>
      </c>
      <c r="M89" s="24">
        <v>415.6</v>
      </c>
      <c r="N89" s="23">
        <v>5.98</v>
      </c>
      <c r="O89" s="23" t="s">
        <v>46</v>
      </c>
      <c r="P89" s="23" t="s">
        <v>44</v>
      </c>
      <c r="Q89" s="23">
        <v>10</v>
      </c>
      <c r="R89" s="23" t="s">
        <v>78</v>
      </c>
      <c r="S89" s="23" t="s">
        <v>323</v>
      </c>
    </row>
    <row r="90" spans="1:19" x14ac:dyDescent="0.2">
      <c r="A90" s="29" t="s">
        <v>386</v>
      </c>
      <c r="B90" s="28">
        <v>42956</v>
      </c>
      <c r="C90">
        <v>80917</v>
      </c>
      <c r="D90" s="31">
        <v>0.46319444444444446</v>
      </c>
      <c r="E90" s="24" t="s">
        <v>321</v>
      </c>
      <c r="F90" s="23">
        <v>67.270200000000003</v>
      </c>
      <c r="G90" s="23">
        <v>135.07634999999999</v>
      </c>
      <c r="H90" s="23">
        <v>322</v>
      </c>
      <c r="I90" s="24">
        <v>14.8</v>
      </c>
      <c r="J90" s="24" t="s">
        <v>26</v>
      </c>
      <c r="K90" s="24" t="s">
        <v>26</v>
      </c>
      <c r="L90" s="24" t="s">
        <v>26</v>
      </c>
      <c r="M90" s="24">
        <v>434</v>
      </c>
      <c r="N90" s="24">
        <v>6.4</v>
      </c>
      <c r="O90" s="23" t="s">
        <v>48</v>
      </c>
      <c r="P90" s="23" t="s">
        <v>44</v>
      </c>
      <c r="Q90" s="23">
        <v>10</v>
      </c>
      <c r="R90" s="23" t="s">
        <v>78</v>
      </c>
      <c r="S90" s="23" t="s">
        <v>323</v>
      </c>
    </row>
    <row r="91" spans="1:19" x14ac:dyDescent="0.2">
      <c r="A91" t="s">
        <v>387</v>
      </c>
      <c r="B91" s="28">
        <v>42956</v>
      </c>
      <c r="C91">
        <v>80917</v>
      </c>
      <c r="D91" s="31">
        <v>0.57847222222222217</v>
      </c>
      <c r="E91" s="24" t="s">
        <v>322</v>
      </c>
      <c r="F91" s="23">
        <v>67.139080000000007</v>
      </c>
      <c r="G91" s="23">
        <v>135.01559</v>
      </c>
      <c r="H91" s="23">
        <v>660</v>
      </c>
      <c r="I91" s="24">
        <v>10</v>
      </c>
      <c r="J91" s="24">
        <v>0.92569999999999997</v>
      </c>
      <c r="K91" s="24">
        <v>94</v>
      </c>
      <c r="L91" s="24">
        <v>10.6</v>
      </c>
      <c r="M91" s="24">
        <v>76.7</v>
      </c>
      <c r="N91" s="24">
        <v>4.96</v>
      </c>
      <c r="O91" s="23" t="s">
        <v>46</v>
      </c>
      <c r="P91" s="23" t="s">
        <v>44</v>
      </c>
      <c r="Q91" s="23">
        <v>10</v>
      </c>
      <c r="R91" s="23" t="s">
        <v>78</v>
      </c>
    </row>
    <row r="92" spans="1:19" x14ac:dyDescent="0.2">
      <c r="A92" t="s">
        <v>387</v>
      </c>
      <c r="B92" s="28">
        <v>42956</v>
      </c>
      <c r="C92">
        <v>80917</v>
      </c>
      <c r="D92" s="31">
        <v>0.57847222222222217</v>
      </c>
      <c r="E92" s="24" t="s">
        <v>322</v>
      </c>
      <c r="F92" s="23">
        <v>67.139080000000007</v>
      </c>
      <c r="G92" s="23">
        <v>135.01559</v>
      </c>
      <c r="H92" s="23">
        <v>660</v>
      </c>
      <c r="I92" s="24">
        <v>10</v>
      </c>
      <c r="J92" s="24" t="s">
        <v>26</v>
      </c>
      <c r="K92" s="24" t="s">
        <v>26</v>
      </c>
      <c r="L92" s="24" t="s">
        <v>26</v>
      </c>
      <c r="M92" s="24">
        <v>82</v>
      </c>
      <c r="N92" s="23" t="s">
        <v>106</v>
      </c>
      <c r="O92" s="23" t="s">
        <v>48</v>
      </c>
      <c r="P92" s="23" t="s">
        <v>44</v>
      </c>
      <c r="Q92" s="23">
        <v>10</v>
      </c>
      <c r="R92" s="23" t="s">
        <v>78</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46"/>
  <sheetViews>
    <sheetView workbookViewId="0">
      <pane ySplit="1" topLeftCell="A98" activePane="bottomLeft" state="frozen"/>
      <selection activeCell="F1" sqref="F1"/>
      <selection pane="bottomLeft" activeCell="B227" sqref="B227:B236"/>
    </sheetView>
  </sheetViews>
  <sheetFormatPr defaultColWidth="11.42578125" defaultRowHeight="12.75" x14ac:dyDescent="0.2"/>
  <sheetData>
    <row r="1" spans="1:15" s="6" customFormat="1" x14ac:dyDescent="0.2">
      <c r="A1" s="6" t="s">
        <v>14</v>
      </c>
      <c r="B1" s="6" t="s">
        <v>15</v>
      </c>
      <c r="C1" s="6" t="s">
        <v>16</v>
      </c>
      <c r="D1" s="6" t="s">
        <v>27</v>
      </c>
      <c r="E1" s="6" t="s">
        <v>17</v>
      </c>
      <c r="F1" s="6" t="s">
        <v>18</v>
      </c>
      <c r="G1" s="6" t="s">
        <v>19</v>
      </c>
      <c r="H1" s="6" t="s">
        <v>28</v>
      </c>
      <c r="I1" s="6" t="s">
        <v>20</v>
      </c>
      <c r="J1" s="6" t="s">
        <v>21</v>
      </c>
      <c r="K1" s="6" t="s">
        <v>22</v>
      </c>
      <c r="L1" s="6" t="s">
        <v>23</v>
      </c>
      <c r="M1" s="6" t="s">
        <v>97</v>
      </c>
      <c r="N1" s="6" t="s">
        <v>47</v>
      </c>
      <c r="O1" s="6" t="s">
        <v>24</v>
      </c>
    </row>
    <row r="2" spans="1:15" x14ac:dyDescent="0.2">
      <c r="A2">
        <v>71017</v>
      </c>
      <c r="B2" t="s">
        <v>25</v>
      </c>
      <c r="C2">
        <v>4710</v>
      </c>
      <c r="D2" t="s">
        <v>26</v>
      </c>
      <c r="E2">
        <v>2880</v>
      </c>
      <c r="F2">
        <v>1</v>
      </c>
      <c r="G2">
        <v>16</v>
      </c>
      <c r="H2" t="s">
        <v>29</v>
      </c>
      <c r="I2" t="s">
        <v>26</v>
      </c>
      <c r="J2" t="s">
        <v>26</v>
      </c>
      <c r="O2" t="s">
        <v>30</v>
      </c>
    </row>
    <row r="3" spans="1:15" x14ac:dyDescent="0.2">
      <c r="A3">
        <v>71017</v>
      </c>
      <c r="B3" t="s">
        <v>25</v>
      </c>
      <c r="C3">
        <v>4710</v>
      </c>
      <c r="D3" t="s">
        <v>26</v>
      </c>
      <c r="E3">
        <v>2880</v>
      </c>
      <c r="F3">
        <v>2</v>
      </c>
      <c r="G3">
        <v>28</v>
      </c>
      <c r="H3">
        <f>0.4*G3</f>
        <v>11.200000000000001</v>
      </c>
      <c r="I3">
        <v>41.2</v>
      </c>
      <c r="J3">
        <v>6</v>
      </c>
      <c r="O3" s="7" t="s">
        <v>192</v>
      </c>
    </row>
    <row r="4" spans="1:15" x14ac:dyDescent="0.2">
      <c r="A4">
        <v>71017</v>
      </c>
      <c r="B4" t="s">
        <v>25</v>
      </c>
      <c r="C4">
        <v>4710</v>
      </c>
      <c r="D4" t="s">
        <v>26</v>
      </c>
      <c r="E4">
        <v>2880</v>
      </c>
      <c r="F4">
        <v>3</v>
      </c>
      <c r="G4">
        <v>41</v>
      </c>
      <c r="H4">
        <f t="shared" ref="H4:H11" si="0">0.4*G4</f>
        <v>16.400000000000002</v>
      </c>
      <c r="I4">
        <v>40.9</v>
      </c>
      <c r="J4">
        <v>10</v>
      </c>
    </row>
    <row r="5" spans="1:15" x14ac:dyDescent="0.2">
      <c r="A5">
        <v>71017</v>
      </c>
      <c r="B5" t="s">
        <v>25</v>
      </c>
      <c r="C5">
        <v>4710</v>
      </c>
      <c r="D5" t="s">
        <v>26</v>
      </c>
      <c r="E5">
        <v>2880</v>
      </c>
      <c r="F5">
        <v>4</v>
      </c>
      <c r="G5">
        <v>57.5</v>
      </c>
      <c r="H5">
        <f t="shared" si="0"/>
        <v>23</v>
      </c>
      <c r="I5">
        <v>43.12</v>
      </c>
      <c r="J5">
        <v>10</v>
      </c>
    </row>
    <row r="6" spans="1:15" x14ac:dyDescent="0.2">
      <c r="A6">
        <v>71017</v>
      </c>
      <c r="B6" t="s">
        <v>25</v>
      </c>
      <c r="C6">
        <v>4710</v>
      </c>
      <c r="D6" t="s">
        <v>26</v>
      </c>
      <c r="E6">
        <v>2880</v>
      </c>
      <c r="F6">
        <v>5</v>
      </c>
      <c r="G6">
        <v>68</v>
      </c>
      <c r="H6">
        <f t="shared" si="0"/>
        <v>27.200000000000003</v>
      </c>
      <c r="I6">
        <v>40.5</v>
      </c>
      <c r="J6">
        <v>16</v>
      </c>
    </row>
    <row r="7" spans="1:15" x14ac:dyDescent="0.2">
      <c r="A7">
        <v>71017</v>
      </c>
      <c r="B7" t="s">
        <v>25</v>
      </c>
      <c r="C7">
        <v>4710</v>
      </c>
      <c r="D7" t="s">
        <v>26</v>
      </c>
      <c r="E7">
        <v>2880</v>
      </c>
      <c r="F7">
        <v>6</v>
      </c>
      <c r="G7">
        <v>74</v>
      </c>
      <c r="H7">
        <f t="shared" si="0"/>
        <v>29.6</v>
      </c>
      <c r="I7">
        <v>42.12</v>
      </c>
      <c r="J7">
        <v>15</v>
      </c>
    </row>
    <row r="8" spans="1:15" x14ac:dyDescent="0.2">
      <c r="A8">
        <v>71017</v>
      </c>
      <c r="B8" t="s">
        <v>25</v>
      </c>
      <c r="C8">
        <v>4710</v>
      </c>
      <c r="D8" t="s">
        <v>26</v>
      </c>
      <c r="E8">
        <v>2880</v>
      </c>
      <c r="F8">
        <v>7</v>
      </c>
      <c r="G8">
        <v>75</v>
      </c>
      <c r="H8">
        <f t="shared" si="0"/>
        <v>30</v>
      </c>
      <c r="I8">
        <v>41.03</v>
      </c>
      <c r="J8">
        <v>11</v>
      </c>
    </row>
    <row r="9" spans="1:15" x14ac:dyDescent="0.2">
      <c r="A9">
        <v>71017</v>
      </c>
      <c r="B9" t="s">
        <v>25</v>
      </c>
      <c r="C9">
        <v>4710</v>
      </c>
      <c r="D9" t="s">
        <v>26</v>
      </c>
      <c r="E9">
        <v>2880</v>
      </c>
      <c r="F9">
        <v>8</v>
      </c>
      <c r="G9">
        <v>89.5</v>
      </c>
      <c r="H9">
        <f t="shared" si="0"/>
        <v>35.800000000000004</v>
      </c>
      <c r="I9">
        <v>40.770000000000003</v>
      </c>
      <c r="J9">
        <v>14</v>
      </c>
    </row>
    <row r="10" spans="1:15" x14ac:dyDescent="0.2">
      <c r="A10">
        <v>71017</v>
      </c>
      <c r="B10" t="s">
        <v>25</v>
      </c>
      <c r="C10">
        <v>4710</v>
      </c>
      <c r="D10" t="s">
        <v>26</v>
      </c>
      <c r="E10">
        <v>2880</v>
      </c>
      <c r="F10">
        <v>9</v>
      </c>
      <c r="G10">
        <v>111</v>
      </c>
      <c r="H10">
        <f t="shared" si="0"/>
        <v>44.400000000000006</v>
      </c>
      <c r="I10">
        <v>46.33</v>
      </c>
      <c r="J10">
        <v>7</v>
      </c>
      <c r="O10" t="s">
        <v>31</v>
      </c>
    </row>
    <row r="11" spans="1:15" x14ac:dyDescent="0.2">
      <c r="A11">
        <v>71017</v>
      </c>
      <c r="B11" t="s">
        <v>25</v>
      </c>
      <c r="C11">
        <v>4710</v>
      </c>
      <c r="D11" t="s">
        <v>26</v>
      </c>
      <c r="E11">
        <v>2880</v>
      </c>
      <c r="F11">
        <v>10</v>
      </c>
      <c r="G11">
        <v>53</v>
      </c>
      <c r="H11">
        <f t="shared" si="0"/>
        <v>21.200000000000003</v>
      </c>
      <c r="I11">
        <v>44.6</v>
      </c>
      <c r="J11">
        <v>4</v>
      </c>
    </row>
    <row r="12" spans="1:15" x14ac:dyDescent="0.2">
      <c r="A12">
        <v>71217</v>
      </c>
      <c r="B12" s="7" t="s">
        <v>82</v>
      </c>
      <c r="C12">
        <v>1790</v>
      </c>
      <c r="D12" t="s">
        <v>26</v>
      </c>
      <c r="E12">
        <v>141</v>
      </c>
      <c r="F12">
        <v>1</v>
      </c>
      <c r="G12">
        <v>21</v>
      </c>
      <c r="H12" t="s">
        <v>26</v>
      </c>
      <c r="I12" t="s">
        <v>26</v>
      </c>
      <c r="J12">
        <v>14.84</v>
      </c>
      <c r="K12">
        <v>10.85</v>
      </c>
      <c r="L12">
        <v>14.31</v>
      </c>
      <c r="M12">
        <v>35</v>
      </c>
      <c r="N12" s="7" t="s">
        <v>189</v>
      </c>
      <c r="O12" s="7" t="s">
        <v>193</v>
      </c>
    </row>
    <row r="13" spans="1:15" x14ac:dyDescent="0.2">
      <c r="A13">
        <v>71217</v>
      </c>
      <c r="B13" s="7" t="s">
        <v>82</v>
      </c>
      <c r="C13">
        <v>1790</v>
      </c>
      <c r="D13" t="s">
        <v>26</v>
      </c>
      <c r="E13">
        <v>141</v>
      </c>
      <c r="F13">
        <v>2</v>
      </c>
      <c r="G13">
        <v>19</v>
      </c>
      <c r="H13" t="s">
        <v>26</v>
      </c>
      <c r="I13" t="s">
        <v>26</v>
      </c>
      <c r="J13">
        <v>8.0399999999999991</v>
      </c>
      <c r="K13" t="s">
        <v>26</v>
      </c>
      <c r="L13" t="s">
        <v>26</v>
      </c>
      <c r="M13">
        <v>35</v>
      </c>
      <c r="N13" s="7" t="s">
        <v>189</v>
      </c>
      <c r="O13" t="s">
        <v>100</v>
      </c>
    </row>
    <row r="14" spans="1:15" x14ac:dyDescent="0.2">
      <c r="A14">
        <v>71217</v>
      </c>
      <c r="B14" s="7" t="s">
        <v>82</v>
      </c>
      <c r="C14">
        <v>1790</v>
      </c>
      <c r="D14" t="s">
        <v>26</v>
      </c>
      <c r="E14">
        <v>141</v>
      </c>
      <c r="F14">
        <v>3</v>
      </c>
      <c r="G14">
        <v>21</v>
      </c>
      <c r="H14" t="s">
        <v>26</v>
      </c>
      <c r="I14" t="s">
        <v>26</v>
      </c>
      <c r="J14" t="s">
        <v>26</v>
      </c>
      <c r="K14" t="s">
        <v>26</v>
      </c>
      <c r="L14" t="s">
        <v>26</v>
      </c>
      <c r="M14" t="s">
        <v>26</v>
      </c>
      <c r="N14" s="7" t="s">
        <v>189</v>
      </c>
      <c r="O14" t="s">
        <v>100</v>
      </c>
    </row>
    <row r="15" spans="1:15" x14ac:dyDescent="0.2">
      <c r="A15">
        <v>71217</v>
      </c>
      <c r="B15" s="7" t="s">
        <v>82</v>
      </c>
      <c r="C15">
        <v>1790</v>
      </c>
      <c r="D15" t="s">
        <v>26</v>
      </c>
      <c r="E15">
        <v>141</v>
      </c>
      <c r="F15">
        <v>4</v>
      </c>
      <c r="G15">
        <v>24</v>
      </c>
      <c r="H15" t="s">
        <v>26</v>
      </c>
      <c r="I15" t="s">
        <v>26</v>
      </c>
      <c r="J15">
        <v>32.4</v>
      </c>
      <c r="K15">
        <v>35.21</v>
      </c>
      <c r="L15">
        <v>38.06</v>
      </c>
      <c r="M15">
        <v>200</v>
      </c>
      <c r="N15" s="7" t="s">
        <v>189</v>
      </c>
      <c r="O15" t="s">
        <v>94</v>
      </c>
    </row>
    <row r="16" spans="1:15" x14ac:dyDescent="0.2">
      <c r="A16">
        <v>71217</v>
      </c>
      <c r="B16" s="7" t="s">
        <v>82</v>
      </c>
      <c r="C16">
        <v>1790</v>
      </c>
      <c r="D16" t="s">
        <v>26</v>
      </c>
      <c r="E16">
        <v>141</v>
      </c>
      <c r="F16">
        <v>5</v>
      </c>
      <c r="G16">
        <v>25</v>
      </c>
      <c r="H16" t="s">
        <v>26</v>
      </c>
      <c r="I16" t="s">
        <v>26</v>
      </c>
      <c r="J16" t="s">
        <v>26</v>
      </c>
      <c r="K16" t="s">
        <v>26</v>
      </c>
      <c r="L16" t="s">
        <v>26</v>
      </c>
      <c r="M16">
        <v>200</v>
      </c>
      <c r="N16" s="7" t="s">
        <v>189</v>
      </c>
      <c r="O16" t="s">
        <v>95</v>
      </c>
    </row>
    <row r="17" spans="1:15" x14ac:dyDescent="0.2">
      <c r="A17">
        <v>71217</v>
      </c>
      <c r="B17" s="7" t="s">
        <v>82</v>
      </c>
      <c r="C17">
        <v>1790</v>
      </c>
      <c r="D17" t="s">
        <v>26</v>
      </c>
      <c r="E17">
        <v>141</v>
      </c>
      <c r="F17">
        <v>6</v>
      </c>
      <c r="G17">
        <v>26</v>
      </c>
      <c r="H17" t="s">
        <v>26</v>
      </c>
      <c r="I17" t="s">
        <v>26</v>
      </c>
      <c r="J17" t="s">
        <v>26</v>
      </c>
      <c r="K17" t="s">
        <v>26</v>
      </c>
      <c r="L17" t="s">
        <v>26</v>
      </c>
      <c r="M17">
        <v>200</v>
      </c>
      <c r="N17" s="7" t="s">
        <v>189</v>
      </c>
      <c r="O17" t="s">
        <v>95</v>
      </c>
    </row>
    <row r="18" spans="1:15" x14ac:dyDescent="0.2">
      <c r="A18">
        <v>71217</v>
      </c>
      <c r="B18" s="7" t="s">
        <v>82</v>
      </c>
      <c r="C18">
        <v>1790</v>
      </c>
      <c r="D18" t="s">
        <v>26</v>
      </c>
      <c r="E18">
        <v>141</v>
      </c>
      <c r="F18">
        <v>7</v>
      </c>
      <c r="G18">
        <v>10</v>
      </c>
      <c r="H18" t="s">
        <v>26</v>
      </c>
      <c r="I18" t="s">
        <v>26</v>
      </c>
      <c r="J18">
        <v>29.64</v>
      </c>
      <c r="K18" t="s">
        <v>26</v>
      </c>
      <c r="L18" t="s">
        <v>26</v>
      </c>
      <c r="M18">
        <v>200</v>
      </c>
      <c r="N18" s="7" t="s">
        <v>189</v>
      </c>
      <c r="O18" t="s">
        <v>96</v>
      </c>
    </row>
    <row r="19" spans="1:15" x14ac:dyDescent="0.2">
      <c r="A19">
        <v>71217</v>
      </c>
      <c r="B19" s="7" t="s">
        <v>82</v>
      </c>
      <c r="C19">
        <v>1790</v>
      </c>
      <c r="D19" t="s">
        <v>26</v>
      </c>
      <c r="E19">
        <v>141</v>
      </c>
      <c r="F19">
        <v>8</v>
      </c>
      <c r="G19">
        <v>12</v>
      </c>
      <c r="H19" t="s">
        <v>26</v>
      </c>
      <c r="I19" t="s">
        <v>26</v>
      </c>
      <c r="J19">
        <v>34.47</v>
      </c>
      <c r="K19">
        <v>46.22</v>
      </c>
      <c r="L19">
        <v>29.79</v>
      </c>
      <c r="M19">
        <v>200</v>
      </c>
      <c r="N19" s="7" t="s">
        <v>189</v>
      </c>
      <c r="O19" t="s">
        <v>96</v>
      </c>
    </row>
    <row r="20" spans="1:15" x14ac:dyDescent="0.2">
      <c r="A20">
        <v>71217</v>
      </c>
      <c r="B20" s="7" t="s">
        <v>82</v>
      </c>
      <c r="C20">
        <v>1790</v>
      </c>
      <c r="D20" t="s">
        <v>26</v>
      </c>
      <c r="E20">
        <v>141</v>
      </c>
      <c r="F20">
        <v>9</v>
      </c>
      <c r="G20">
        <v>10</v>
      </c>
      <c r="H20" t="s">
        <v>26</v>
      </c>
      <c r="I20" t="s">
        <v>26</v>
      </c>
      <c r="J20">
        <v>14.92</v>
      </c>
      <c r="K20">
        <v>18.41</v>
      </c>
      <c r="L20">
        <v>25.15</v>
      </c>
      <c r="M20">
        <v>200</v>
      </c>
      <c r="N20" s="7" t="s">
        <v>189</v>
      </c>
      <c r="O20" t="s">
        <v>96</v>
      </c>
    </row>
    <row r="21" spans="1:15" x14ac:dyDescent="0.2">
      <c r="A21">
        <v>71217</v>
      </c>
      <c r="B21" s="7" t="s">
        <v>82</v>
      </c>
      <c r="C21">
        <v>1790</v>
      </c>
      <c r="D21" t="s">
        <v>26</v>
      </c>
      <c r="E21">
        <v>141</v>
      </c>
      <c r="F21">
        <v>10</v>
      </c>
      <c r="G21">
        <v>16</v>
      </c>
      <c r="H21" t="s">
        <v>26</v>
      </c>
      <c r="I21" t="s">
        <v>26</v>
      </c>
      <c r="J21">
        <v>16.670000000000002</v>
      </c>
      <c r="K21">
        <v>18.97</v>
      </c>
      <c r="L21">
        <v>16.75</v>
      </c>
      <c r="M21">
        <v>200</v>
      </c>
      <c r="N21" s="7" t="s">
        <v>189</v>
      </c>
    </row>
    <row r="22" spans="1:15" x14ac:dyDescent="0.2">
      <c r="A22">
        <v>71217</v>
      </c>
      <c r="B22" s="7" t="s">
        <v>84</v>
      </c>
      <c r="C22">
        <v>610</v>
      </c>
      <c r="D22">
        <v>185</v>
      </c>
      <c r="E22">
        <v>51</v>
      </c>
      <c r="F22">
        <v>1</v>
      </c>
      <c r="G22">
        <v>6</v>
      </c>
      <c r="H22" t="s">
        <v>26</v>
      </c>
      <c r="I22" t="s">
        <v>26</v>
      </c>
      <c r="J22">
        <v>3.55</v>
      </c>
      <c r="K22">
        <v>4.04</v>
      </c>
      <c r="L22">
        <v>4.37</v>
      </c>
      <c r="M22">
        <v>100</v>
      </c>
      <c r="N22" s="7" t="s">
        <v>189</v>
      </c>
      <c r="O22" t="s">
        <v>98</v>
      </c>
    </row>
    <row r="23" spans="1:15" x14ac:dyDescent="0.2">
      <c r="A23">
        <v>71217</v>
      </c>
      <c r="B23" s="7" t="s">
        <v>84</v>
      </c>
      <c r="C23">
        <v>610</v>
      </c>
      <c r="D23">
        <v>185</v>
      </c>
      <c r="E23">
        <v>51</v>
      </c>
      <c r="F23">
        <v>2</v>
      </c>
      <c r="G23">
        <v>6</v>
      </c>
      <c r="H23" t="s">
        <v>26</v>
      </c>
      <c r="I23" t="s">
        <v>26</v>
      </c>
      <c r="J23">
        <v>3.61</v>
      </c>
      <c r="K23">
        <v>3.39</v>
      </c>
      <c r="L23">
        <v>3.5</v>
      </c>
      <c r="M23">
        <v>100</v>
      </c>
      <c r="N23" s="7" t="s">
        <v>189</v>
      </c>
    </row>
    <row r="24" spans="1:15" x14ac:dyDescent="0.2">
      <c r="A24">
        <v>71217</v>
      </c>
      <c r="B24" s="7" t="s">
        <v>84</v>
      </c>
      <c r="C24">
        <v>610</v>
      </c>
      <c r="D24">
        <v>185</v>
      </c>
      <c r="E24">
        <v>51</v>
      </c>
      <c r="F24">
        <v>3</v>
      </c>
      <c r="G24">
        <v>5</v>
      </c>
      <c r="H24" t="s">
        <v>26</v>
      </c>
      <c r="I24" t="s">
        <v>26</v>
      </c>
      <c r="J24">
        <v>4.9400000000000004</v>
      </c>
      <c r="K24">
        <v>5.48</v>
      </c>
      <c r="L24">
        <v>6.07</v>
      </c>
      <c r="M24">
        <v>100</v>
      </c>
      <c r="N24" s="7" t="s">
        <v>189</v>
      </c>
    </row>
    <row r="25" spans="1:15" x14ac:dyDescent="0.2">
      <c r="A25">
        <v>71217</v>
      </c>
      <c r="B25" s="7" t="s">
        <v>84</v>
      </c>
      <c r="C25">
        <v>610</v>
      </c>
      <c r="D25">
        <v>185</v>
      </c>
      <c r="E25">
        <v>51</v>
      </c>
      <c r="F25">
        <v>4</v>
      </c>
      <c r="G25">
        <v>3</v>
      </c>
      <c r="H25" t="s">
        <v>26</v>
      </c>
      <c r="I25" t="s">
        <v>26</v>
      </c>
      <c r="J25" t="s">
        <v>26</v>
      </c>
      <c r="K25" t="s">
        <v>26</v>
      </c>
      <c r="L25" t="s">
        <v>26</v>
      </c>
      <c r="M25">
        <v>100</v>
      </c>
      <c r="N25" s="7" t="s">
        <v>189</v>
      </c>
      <c r="O25" t="s">
        <v>101</v>
      </c>
    </row>
    <row r="26" spans="1:15" x14ac:dyDescent="0.2">
      <c r="A26">
        <v>71317</v>
      </c>
      <c r="B26" s="7" t="s">
        <v>83</v>
      </c>
      <c r="C26">
        <v>231</v>
      </c>
      <c r="D26">
        <v>30</v>
      </c>
      <c r="E26">
        <v>18</v>
      </c>
      <c r="F26">
        <v>1</v>
      </c>
      <c r="G26">
        <v>11</v>
      </c>
      <c r="H26" t="s">
        <v>26</v>
      </c>
      <c r="I26" t="s">
        <v>26</v>
      </c>
      <c r="J26">
        <v>4.4400000000000004</v>
      </c>
      <c r="K26">
        <v>4.45</v>
      </c>
      <c r="L26">
        <v>3.91</v>
      </c>
      <c r="M26">
        <v>100</v>
      </c>
      <c r="N26" s="7" t="s">
        <v>189</v>
      </c>
      <c r="O26" t="s">
        <v>102</v>
      </c>
    </row>
    <row r="27" spans="1:15" x14ac:dyDescent="0.2">
      <c r="A27">
        <v>71317</v>
      </c>
      <c r="B27" s="7" t="s">
        <v>103</v>
      </c>
      <c r="C27">
        <v>325</v>
      </c>
      <c r="D27" t="s">
        <v>26</v>
      </c>
      <c r="E27" t="s">
        <v>26</v>
      </c>
      <c r="F27" t="s">
        <v>26</v>
      </c>
      <c r="G27" t="s">
        <v>26</v>
      </c>
      <c r="H27" t="s">
        <v>26</v>
      </c>
      <c r="I27" t="s">
        <v>26</v>
      </c>
      <c r="J27" t="s">
        <v>26</v>
      </c>
      <c r="K27" t="s">
        <v>26</v>
      </c>
      <c r="L27" t="s">
        <v>26</v>
      </c>
      <c r="M27" t="s">
        <v>26</v>
      </c>
      <c r="N27" s="7" t="s">
        <v>26</v>
      </c>
      <c r="O27" t="s">
        <v>104</v>
      </c>
    </row>
    <row r="28" spans="1:15" x14ac:dyDescent="0.2">
      <c r="A28">
        <v>71417</v>
      </c>
      <c r="B28" s="7" t="s">
        <v>86</v>
      </c>
      <c r="C28">
        <v>340</v>
      </c>
      <c r="D28">
        <v>76</v>
      </c>
      <c r="E28">
        <v>99</v>
      </c>
      <c r="F28">
        <v>1</v>
      </c>
      <c r="G28">
        <v>10</v>
      </c>
      <c r="H28" t="s">
        <v>26</v>
      </c>
      <c r="I28" t="s">
        <v>26</v>
      </c>
      <c r="J28">
        <v>4.28</v>
      </c>
      <c r="K28">
        <v>4.01</v>
      </c>
      <c r="L28">
        <v>3.84</v>
      </c>
      <c r="M28">
        <v>200</v>
      </c>
      <c r="N28" s="7" t="s">
        <v>189</v>
      </c>
      <c r="O28" s="7" t="s">
        <v>194</v>
      </c>
    </row>
    <row r="29" spans="1:15" x14ac:dyDescent="0.2">
      <c r="A29">
        <v>71417</v>
      </c>
      <c r="B29" s="7" t="s">
        <v>86</v>
      </c>
      <c r="C29">
        <v>340</v>
      </c>
      <c r="D29">
        <v>76</v>
      </c>
      <c r="E29">
        <v>99</v>
      </c>
      <c r="F29">
        <v>2</v>
      </c>
      <c r="G29">
        <v>10</v>
      </c>
      <c r="H29" t="s">
        <v>26</v>
      </c>
      <c r="I29" t="s">
        <v>26</v>
      </c>
      <c r="J29">
        <v>4.58</v>
      </c>
      <c r="K29">
        <v>3.45</v>
      </c>
      <c r="L29">
        <v>3.41</v>
      </c>
      <c r="M29">
        <v>200</v>
      </c>
      <c r="N29" s="7" t="s">
        <v>189</v>
      </c>
    </row>
    <row r="30" spans="1:15" x14ac:dyDescent="0.2">
      <c r="A30">
        <v>71417</v>
      </c>
      <c r="B30" s="7" t="s">
        <v>86</v>
      </c>
      <c r="C30">
        <v>340</v>
      </c>
      <c r="D30">
        <v>76</v>
      </c>
      <c r="E30">
        <v>99</v>
      </c>
      <c r="F30">
        <v>3</v>
      </c>
      <c r="G30">
        <v>12</v>
      </c>
      <c r="H30" t="s">
        <v>26</v>
      </c>
      <c r="I30" t="s">
        <v>26</v>
      </c>
      <c r="J30">
        <v>2.44</v>
      </c>
      <c r="K30">
        <v>2.65</v>
      </c>
      <c r="L30">
        <v>2.84</v>
      </c>
      <c r="M30">
        <v>200</v>
      </c>
      <c r="N30" s="7" t="s">
        <v>189</v>
      </c>
    </row>
    <row r="31" spans="1:15" x14ac:dyDescent="0.2">
      <c r="A31">
        <v>71417</v>
      </c>
      <c r="B31" s="7" t="s">
        <v>86</v>
      </c>
      <c r="C31">
        <v>340</v>
      </c>
      <c r="D31">
        <v>76</v>
      </c>
      <c r="E31">
        <v>99</v>
      </c>
      <c r="F31">
        <v>4</v>
      </c>
      <c r="G31">
        <v>12</v>
      </c>
      <c r="H31" t="s">
        <v>26</v>
      </c>
      <c r="I31" t="s">
        <v>26</v>
      </c>
      <c r="J31">
        <v>3.15</v>
      </c>
      <c r="K31">
        <v>2.68</v>
      </c>
      <c r="L31">
        <v>3.8</v>
      </c>
      <c r="M31">
        <v>200</v>
      </c>
      <c r="N31" s="7" t="s">
        <v>189</v>
      </c>
    </row>
    <row r="32" spans="1:15" x14ac:dyDescent="0.2">
      <c r="A32">
        <v>71417</v>
      </c>
      <c r="B32" s="7" t="s">
        <v>86</v>
      </c>
      <c r="C32">
        <v>340</v>
      </c>
      <c r="D32">
        <v>76</v>
      </c>
      <c r="E32">
        <v>99</v>
      </c>
      <c r="F32">
        <v>5</v>
      </c>
      <c r="G32">
        <v>12</v>
      </c>
      <c r="H32" t="s">
        <v>26</v>
      </c>
      <c r="I32" t="s">
        <v>26</v>
      </c>
      <c r="J32">
        <v>2.97</v>
      </c>
      <c r="K32">
        <v>2.95</v>
      </c>
      <c r="L32">
        <v>2.9</v>
      </c>
      <c r="M32">
        <v>200</v>
      </c>
      <c r="N32" s="7" t="s">
        <v>189</v>
      </c>
    </row>
    <row r="33" spans="1:15" x14ac:dyDescent="0.2">
      <c r="A33">
        <v>71417</v>
      </c>
      <c r="B33" s="7" t="s">
        <v>86</v>
      </c>
      <c r="C33">
        <v>340</v>
      </c>
      <c r="D33">
        <v>76</v>
      </c>
      <c r="E33">
        <v>99</v>
      </c>
      <c r="F33">
        <v>6</v>
      </c>
      <c r="G33">
        <v>10</v>
      </c>
      <c r="H33" t="s">
        <v>26</v>
      </c>
      <c r="I33" t="s">
        <v>26</v>
      </c>
      <c r="J33">
        <v>2.33</v>
      </c>
      <c r="K33">
        <v>2.94</v>
      </c>
      <c r="L33">
        <v>3</v>
      </c>
      <c r="M33">
        <v>200</v>
      </c>
      <c r="N33" s="7" t="s">
        <v>189</v>
      </c>
    </row>
    <row r="34" spans="1:15" x14ac:dyDescent="0.2">
      <c r="A34">
        <v>71417</v>
      </c>
      <c r="B34" s="7" t="s">
        <v>86</v>
      </c>
      <c r="C34">
        <v>340</v>
      </c>
      <c r="D34">
        <v>76</v>
      </c>
      <c r="E34">
        <v>99</v>
      </c>
      <c r="F34">
        <v>7</v>
      </c>
      <c r="G34">
        <v>9</v>
      </c>
      <c r="H34" t="s">
        <v>26</v>
      </c>
      <c r="I34" t="s">
        <v>26</v>
      </c>
      <c r="J34">
        <v>3.13</v>
      </c>
      <c r="K34">
        <v>3.44</v>
      </c>
      <c r="L34">
        <v>3.72</v>
      </c>
      <c r="M34">
        <v>200</v>
      </c>
      <c r="N34" s="7" t="s">
        <v>189</v>
      </c>
    </row>
    <row r="35" spans="1:15" x14ac:dyDescent="0.2">
      <c r="A35">
        <v>71417</v>
      </c>
      <c r="B35" s="7" t="s">
        <v>86</v>
      </c>
      <c r="C35">
        <v>340</v>
      </c>
      <c r="D35">
        <v>76</v>
      </c>
      <c r="E35">
        <v>99</v>
      </c>
      <c r="F35">
        <v>8</v>
      </c>
      <c r="G35">
        <v>6</v>
      </c>
      <c r="H35" t="s">
        <v>26</v>
      </c>
      <c r="I35" t="s">
        <v>26</v>
      </c>
      <c r="J35">
        <v>4.0999999999999996</v>
      </c>
      <c r="K35">
        <v>4.03</v>
      </c>
      <c r="L35">
        <v>4.24</v>
      </c>
      <c r="M35">
        <v>200</v>
      </c>
      <c r="N35" s="7" t="s">
        <v>189</v>
      </c>
    </row>
    <row r="36" spans="1:15" x14ac:dyDescent="0.2">
      <c r="A36">
        <v>71417</v>
      </c>
      <c r="B36" s="7" t="s">
        <v>86</v>
      </c>
      <c r="C36">
        <v>340</v>
      </c>
      <c r="D36">
        <v>76</v>
      </c>
      <c r="E36">
        <v>99</v>
      </c>
      <c r="F36">
        <v>9</v>
      </c>
      <c r="G36">
        <v>4</v>
      </c>
      <c r="H36" t="s">
        <v>26</v>
      </c>
      <c r="I36" t="s">
        <v>26</v>
      </c>
      <c r="J36">
        <v>9.32</v>
      </c>
      <c r="K36">
        <v>6.81</v>
      </c>
      <c r="L36">
        <v>7.6</v>
      </c>
      <c r="M36">
        <v>200</v>
      </c>
      <c r="N36" s="7" t="s">
        <v>189</v>
      </c>
    </row>
    <row r="37" spans="1:15" x14ac:dyDescent="0.2">
      <c r="A37">
        <v>71417</v>
      </c>
      <c r="B37" s="7" t="s">
        <v>88</v>
      </c>
      <c r="C37">
        <v>847</v>
      </c>
      <c r="D37">
        <v>5</v>
      </c>
      <c r="E37">
        <v>59</v>
      </c>
      <c r="F37">
        <v>1</v>
      </c>
      <c r="G37">
        <v>1</v>
      </c>
      <c r="H37" t="s">
        <v>26</v>
      </c>
      <c r="I37" t="s">
        <v>26</v>
      </c>
      <c r="J37" t="s">
        <v>26</v>
      </c>
      <c r="K37" t="s">
        <v>26</v>
      </c>
      <c r="L37" t="s">
        <v>26</v>
      </c>
      <c r="M37">
        <v>100</v>
      </c>
      <c r="N37" s="7" t="s">
        <v>189</v>
      </c>
      <c r="O37" t="s">
        <v>105</v>
      </c>
    </row>
    <row r="38" spans="1:15" x14ac:dyDescent="0.2">
      <c r="A38">
        <v>71417</v>
      </c>
      <c r="B38" s="7" t="s">
        <v>88</v>
      </c>
      <c r="C38">
        <v>847</v>
      </c>
      <c r="D38">
        <v>5</v>
      </c>
      <c r="E38">
        <v>59</v>
      </c>
      <c r="F38">
        <v>2</v>
      </c>
      <c r="G38">
        <v>3</v>
      </c>
      <c r="H38" t="s">
        <v>26</v>
      </c>
      <c r="I38" t="s">
        <v>26</v>
      </c>
      <c r="J38">
        <v>2.2000000000000002</v>
      </c>
      <c r="K38">
        <v>2.19</v>
      </c>
      <c r="L38">
        <v>2.25</v>
      </c>
      <c r="M38">
        <v>100</v>
      </c>
      <c r="N38" s="7" t="s">
        <v>189</v>
      </c>
    </row>
    <row r="39" spans="1:15" x14ac:dyDescent="0.2">
      <c r="A39">
        <v>71417</v>
      </c>
      <c r="B39" s="7" t="s">
        <v>88</v>
      </c>
      <c r="C39">
        <v>847</v>
      </c>
      <c r="D39">
        <v>5</v>
      </c>
      <c r="E39">
        <v>59</v>
      </c>
      <c r="F39">
        <v>3</v>
      </c>
      <c r="G39">
        <v>4</v>
      </c>
      <c r="H39" t="s">
        <v>26</v>
      </c>
      <c r="I39" t="s">
        <v>26</v>
      </c>
      <c r="J39">
        <v>1.59</v>
      </c>
      <c r="K39">
        <v>1.57</v>
      </c>
      <c r="L39">
        <v>2.0099999999999998</v>
      </c>
      <c r="M39">
        <v>100</v>
      </c>
      <c r="N39" s="7" t="s">
        <v>189</v>
      </c>
    </row>
    <row r="40" spans="1:15" x14ac:dyDescent="0.2">
      <c r="A40">
        <v>71417</v>
      </c>
      <c r="B40" s="7" t="s">
        <v>88</v>
      </c>
      <c r="C40">
        <v>847</v>
      </c>
      <c r="D40">
        <v>5</v>
      </c>
      <c r="E40">
        <v>59</v>
      </c>
      <c r="F40">
        <v>4</v>
      </c>
      <c r="G40">
        <v>4</v>
      </c>
      <c r="H40" t="s">
        <v>26</v>
      </c>
      <c r="I40" t="s">
        <v>26</v>
      </c>
      <c r="J40">
        <v>2.0299999999999998</v>
      </c>
      <c r="K40">
        <v>3.07</v>
      </c>
      <c r="L40">
        <v>2.89</v>
      </c>
      <c r="M40">
        <v>100</v>
      </c>
      <c r="N40" s="7" t="s">
        <v>189</v>
      </c>
    </row>
    <row r="41" spans="1:15" x14ac:dyDescent="0.2">
      <c r="A41">
        <v>71517</v>
      </c>
      <c r="B41" s="7" t="s">
        <v>91</v>
      </c>
      <c r="C41">
        <v>1290</v>
      </c>
      <c r="D41">
        <v>114</v>
      </c>
      <c r="E41">
        <v>99</v>
      </c>
      <c r="F41">
        <v>1</v>
      </c>
      <c r="G41">
        <v>13</v>
      </c>
      <c r="H41" t="s">
        <v>29</v>
      </c>
      <c r="I41" t="s">
        <v>26</v>
      </c>
      <c r="J41" t="s">
        <v>26</v>
      </c>
      <c r="K41" t="s">
        <v>26</v>
      </c>
      <c r="L41" t="s">
        <v>26</v>
      </c>
      <c r="M41" t="s">
        <v>26</v>
      </c>
      <c r="O41" t="s">
        <v>107</v>
      </c>
    </row>
    <row r="42" spans="1:15" x14ac:dyDescent="0.2">
      <c r="A42">
        <v>71517</v>
      </c>
      <c r="B42" s="7" t="s">
        <v>91</v>
      </c>
      <c r="C42">
        <v>1290</v>
      </c>
      <c r="D42">
        <v>114</v>
      </c>
      <c r="E42">
        <v>99</v>
      </c>
      <c r="F42">
        <v>2</v>
      </c>
      <c r="G42">
        <v>12</v>
      </c>
      <c r="H42" t="s">
        <v>29</v>
      </c>
      <c r="I42">
        <v>40.700000000000003</v>
      </c>
      <c r="J42">
        <v>7</v>
      </c>
      <c r="K42" t="s">
        <v>26</v>
      </c>
      <c r="L42" t="s">
        <v>26</v>
      </c>
      <c r="M42" t="s">
        <v>26</v>
      </c>
    </row>
    <row r="43" spans="1:15" x14ac:dyDescent="0.2">
      <c r="A43">
        <v>71517</v>
      </c>
      <c r="B43" s="7" t="s">
        <v>91</v>
      </c>
      <c r="C43">
        <v>1290</v>
      </c>
      <c r="D43">
        <v>114</v>
      </c>
      <c r="E43">
        <v>99</v>
      </c>
      <c r="F43">
        <v>3</v>
      </c>
      <c r="G43">
        <v>16</v>
      </c>
      <c r="H43" t="s">
        <v>29</v>
      </c>
      <c r="I43">
        <v>43.86</v>
      </c>
      <c r="J43">
        <v>8</v>
      </c>
      <c r="K43" t="s">
        <v>26</v>
      </c>
      <c r="L43" t="s">
        <v>26</v>
      </c>
      <c r="M43" t="s">
        <v>26</v>
      </c>
    </row>
    <row r="44" spans="1:15" x14ac:dyDescent="0.2">
      <c r="A44">
        <v>71517</v>
      </c>
      <c r="B44" s="7" t="s">
        <v>91</v>
      </c>
      <c r="C44">
        <v>1290</v>
      </c>
      <c r="D44">
        <v>114</v>
      </c>
      <c r="E44">
        <v>99</v>
      </c>
      <c r="F44">
        <v>4</v>
      </c>
      <c r="G44">
        <v>19</v>
      </c>
      <c r="H44">
        <v>7.6</v>
      </c>
      <c r="I44">
        <v>42.04</v>
      </c>
      <c r="J44">
        <v>10</v>
      </c>
      <c r="K44" t="s">
        <v>26</v>
      </c>
      <c r="L44" t="s">
        <v>26</v>
      </c>
      <c r="M44" t="s">
        <v>26</v>
      </c>
    </row>
    <row r="45" spans="1:15" x14ac:dyDescent="0.2">
      <c r="A45">
        <v>71517</v>
      </c>
      <c r="B45" s="7" t="s">
        <v>91</v>
      </c>
      <c r="C45">
        <v>1290</v>
      </c>
      <c r="D45">
        <v>114</v>
      </c>
      <c r="E45">
        <v>99</v>
      </c>
      <c r="F45">
        <v>5</v>
      </c>
      <c r="G45">
        <v>21</v>
      </c>
      <c r="H45">
        <v>8.4</v>
      </c>
      <c r="I45">
        <v>41.93</v>
      </c>
      <c r="J45">
        <v>11</v>
      </c>
      <c r="K45" t="s">
        <v>26</v>
      </c>
      <c r="L45" t="s">
        <v>26</v>
      </c>
      <c r="M45" t="s">
        <v>26</v>
      </c>
      <c r="O45" s="7" t="s">
        <v>195</v>
      </c>
    </row>
    <row r="46" spans="1:15" x14ac:dyDescent="0.2">
      <c r="A46">
        <v>71517</v>
      </c>
      <c r="B46" s="7" t="s">
        <v>91</v>
      </c>
      <c r="C46">
        <v>1290</v>
      </c>
      <c r="D46">
        <v>114</v>
      </c>
      <c r="E46">
        <v>99</v>
      </c>
      <c r="F46">
        <v>6</v>
      </c>
      <c r="G46">
        <v>16</v>
      </c>
      <c r="H46" t="s">
        <v>29</v>
      </c>
      <c r="I46">
        <v>39.99</v>
      </c>
      <c r="J46">
        <v>17</v>
      </c>
      <c r="K46" t="s">
        <v>26</v>
      </c>
      <c r="L46" t="s">
        <v>26</v>
      </c>
      <c r="M46" t="s">
        <v>26</v>
      </c>
    </row>
    <row r="47" spans="1:15" x14ac:dyDescent="0.2">
      <c r="A47">
        <v>71517</v>
      </c>
      <c r="B47" s="7" t="s">
        <v>91</v>
      </c>
      <c r="C47">
        <v>1290</v>
      </c>
      <c r="D47">
        <v>114</v>
      </c>
      <c r="E47">
        <v>99</v>
      </c>
      <c r="F47">
        <v>7</v>
      </c>
      <c r="G47">
        <v>15</v>
      </c>
      <c r="H47" t="s">
        <v>29</v>
      </c>
      <c r="I47">
        <v>43.29</v>
      </c>
      <c r="J47">
        <v>11</v>
      </c>
      <c r="K47" t="s">
        <v>26</v>
      </c>
      <c r="L47" t="s">
        <v>26</v>
      </c>
      <c r="M47" t="s">
        <v>26</v>
      </c>
    </row>
    <row r="48" spans="1:15" x14ac:dyDescent="0.2">
      <c r="A48">
        <v>71517</v>
      </c>
      <c r="B48" s="7" t="s">
        <v>93</v>
      </c>
      <c r="C48">
        <v>751</v>
      </c>
      <c r="D48">
        <v>108</v>
      </c>
      <c r="E48">
        <v>80</v>
      </c>
      <c r="F48">
        <v>1</v>
      </c>
      <c r="G48">
        <v>14</v>
      </c>
      <c r="H48" t="s">
        <v>29</v>
      </c>
      <c r="I48" t="s">
        <v>26</v>
      </c>
      <c r="J48" t="s">
        <v>26</v>
      </c>
      <c r="K48" t="s">
        <v>26</v>
      </c>
      <c r="L48" t="s">
        <v>26</v>
      </c>
      <c r="M48" t="s">
        <v>26</v>
      </c>
      <c r="O48" s="7" t="s">
        <v>196</v>
      </c>
    </row>
    <row r="49" spans="1:15" x14ac:dyDescent="0.2">
      <c r="A49">
        <v>71517</v>
      </c>
      <c r="B49" s="7" t="s">
        <v>93</v>
      </c>
      <c r="C49">
        <v>751</v>
      </c>
      <c r="D49">
        <v>108</v>
      </c>
      <c r="E49">
        <v>80</v>
      </c>
      <c r="F49">
        <v>2</v>
      </c>
      <c r="G49">
        <v>13</v>
      </c>
      <c r="H49" t="s">
        <v>29</v>
      </c>
      <c r="I49">
        <v>40.15</v>
      </c>
      <c r="J49">
        <v>10</v>
      </c>
      <c r="K49" t="s">
        <v>26</v>
      </c>
      <c r="L49" t="s">
        <v>26</v>
      </c>
      <c r="M49" t="s">
        <v>26</v>
      </c>
    </row>
    <row r="50" spans="1:15" x14ac:dyDescent="0.2">
      <c r="A50">
        <v>71517</v>
      </c>
      <c r="B50" s="7" t="s">
        <v>93</v>
      </c>
      <c r="C50">
        <v>751</v>
      </c>
      <c r="D50">
        <v>108</v>
      </c>
      <c r="E50">
        <v>80</v>
      </c>
      <c r="F50">
        <v>3</v>
      </c>
      <c r="G50">
        <v>13</v>
      </c>
      <c r="H50" t="s">
        <v>29</v>
      </c>
      <c r="I50">
        <v>42.4</v>
      </c>
      <c r="J50">
        <v>15</v>
      </c>
      <c r="K50" t="s">
        <v>26</v>
      </c>
      <c r="L50" t="s">
        <v>26</v>
      </c>
      <c r="M50" t="s">
        <v>26</v>
      </c>
    </row>
    <row r="51" spans="1:15" x14ac:dyDescent="0.2">
      <c r="A51">
        <v>71517</v>
      </c>
      <c r="B51" s="7" t="s">
        <v>93</v>
      </c>
      <c r="C51">
        <v>751</v>
      </c>
      <c r="D51">
        <v>108</v>
      </c>
      <c r="E51">
        <v>80</v>
      </c>
      <c r="F51">
        <v>4</v>
      </c>
      <c r="G51">
        <v>11</v>
      </c>
      <c r="H51" t="s">
        <v>29</v>
      </c>
      <c r="I51">
        <v>50.18</v>
      </c>
      <c r="J51">
        <v>4</v>
      </c>
      <c r="K51" t="s">
        <v>26</v>
      </c>
      <c r="L51" t="s">
        <v>26</v>
      </c>
      <c r="M51" t="s">
        <v>26</v>
      </c>
    </row>
    <row r="52" spans="1:15" x14ac:dyDescent="0.2">
      <c r="A52">
        <v>71717</v>
      </c>
      <c r="B52" s="7" t="s">
        <v>119</v>
      </c>
      <c r="C52">
        <v>1361</v>
      </c>
      <c r="D52">
        <v>77</v>
      </c>
      <c r="E52">
        <v>206</v>
      </c>
      <c r="F52">
        <v>1</v>
      </c>
      <c r="G52">
        <v>4</v>
      </c>
      <c r="I52" t="s">
        <v>26</v>
      </c>
      <c r="J52">
        <v>5.39</v>
      </c>
      <c r="K52">
        <v>5.05</v>
      </c>
      <c r="L52">
        <v>21.28</v>
      </c>
      <c r="M52">
        <v>100</v>
      </c>
      <c r="N52" s="7" t="s">
        <v>189</v>
      </c>
    </row>
    <row r="53" spans="1:15" x14ac:dyDescent="0.2">
      <c r="A53">
        <v>71717</v>
      </c>
      <c r="B53" s="7" t="s">
        <v>119</v>
      </c>
      <c r="C53">
        <v>1361</v>
      </c>
      <c r="D53">
        <v>77</v>
      </c>
      <c r="E53">
        <v>206</v>
      </c>
      <c r="F53">
        <v>2</v>
      </c>
      <c r="G53">
        <v>5</v>
      </c>
      <c r="I53" t="s">
        <v>26</v>
      </c>
      <c r="J53">
        <v>4.78</v>
      </c>
      <c r="K53">
        <v>6.99</v>
      </c>
      <c r="L53">
        <v>7.2</v>
      </c>
      <c r="M53">
        <v>100</v>
      </c>
      <c r="N53" s="7" t="s">
        <v>189</v>
      </c>
    </row>
    <row r="54" spans="1:15" x14ac:dyDescent="0.2">
      <c r="A54">
        <v>71717</v>
      </c>
      <c r="B54" s="7" t="s">
        <v>119</v>
      </c>
      <c r="C54">
        <v>1361</v>
      </c>
      <c r="D54">
        <v>77</v>
      </c>
      <c r="E54">
        <v>206</v>
      </c>
      <c r="F54">
        <v>3</v>
      </c>
      <c r="G54">
        <v>5</v>
      </c>
      <c r="I54" t="s">
        <v>26</v>
      </c>
      <c r="J54">
        <v>8.42</v>
      </c>
      <c r="K54">
        <v>8.8699999999999992</v>
      </c>
      <c r="L54">
        <v>8.42</v>
      </c>
      <c r="M54">
        <v>100</v>
      </c>
      <c r="N54" s="7" t="s">
        <v>189</v>
      </c>
    </row>
    <row r="55" spans="1:15" x14ac:dyDescent="0.2">
      <c r="A55">
        <v>71717</v>
      </c>
      <c r="B55" s="7" t="s">
        <v>119</v>
      </c>
      <c r="C55">
        <v>1361</v>
      </c>
      <c r="D55">
        <v>77</v>
      </c>
      <c r="E55">
        <v>206</v>
      </c>
      <c r="F55">
        <v>4</v>
      </c>
      <c r="G55">
        <v>5</v>
      </c>
      <c r="I55" t="s">
        <v>26</v>
      </c>
      <c r="J55">
        <v>7.9</v>
      </c>
      <c r="K55">
        <v>7.51</v>
      </c>
      <c r="L55">
        <v>7.23</v>
      </c>
      <c r="M55">
        <v>100</v>
      </c>
      <c r="N55" s="7" t="s">
        <v>189</v>
      </c>
    </row>
    <row r="56" spans="1:15" x14ac:dyDescent="0.2">
      <c r="A56">
        <v>71717</v>
      </c>
      <c r="B56" s="7" t="s">
        <v>119</v>
      </c>
      <c r="C56">
        <v>1361</v>
      </c>
      <c r="D56">
        <v>77</v>
      </c>
      <c r="E56">
        <v>206</v>
      </c>
      <c r="F56">
        <v>5</v>
      </c>
      <c r="G56">
        <v>5</v>
      </c>
      <c r="I56" t="s">
        <v>26</v>
      </c>
      <c r="J56">
        <v>6.41</v>
      </c>
      <c r="K56">
        <v>6.08</v>
      </c>
      <c r="L56">
        <v>6.29</v>
      </c>
      <c r="M56">
        <v>100</v>
      </c>
      <c r="N56" s="7" t="s">
        <v>189</v>
      </c>
    </row>
    <row r="57" spans="1:15" x14ac:dyDescent="0.2">
      <c r="A57">
        <v>71717</v>
      </c>
      <c r="B57" s="7" t="s">
        <v>119</v>
      </c>
      <c r="C57">
        <v>1361</v>
      </c>
      <c r="D57">
        <v>77</v>
      </c>
      <c r="E57">
        <v>206</v>
      </c>
      <c r="F57">
        <v>6</v>
      </c>
      <c r="G57">
        <v>5</v>
      </c>
      <c r="I57" t="s">
        <v>26</v>
      </c>
      <c r="J57">
        <v>7.89</v>
      </c>
      <c r="K57">
        <v>7.4</v>
      </c>
      <c r="L57">
        <v>6.03</v>
      </c>
      <c r="M57">
        <v>100</v>
      </c>
      <c r="N57" s="7" t="s">
        <v>189</v>
      </c>
    </row>
    <row r="58" spans="1:15" x14ac:dyDescent="0.2">
      <c r="A58">
        <v>71717</v>
      </c>
      <c r="B58" s="7" t="s">
        <v>119</v>
      </c>
      <c r="C58">
        <v>1361</v>
      </c>
      <c r="D58">
        <v>77</v>
      </c>
      <c r="E58">
        <v>206</v>
      </c>
      <c r="F58">
        <v>7</v>
      </c>
      <c r="G58">
        <v>5</v>
      </c>
      <c r="I58" t="s">
        <v>26</v>
      </c>
      <c r="J58">
        <v>4.6900000000000004</v>
      </c>
      <c r="K58">
        <v>6.27</v>
      </c>
      <c r="L58">
        <v>5.44</v>
      </c>
      <c r="M58">
        <v>100</v>
      </c>
      <c r="N58" s="7" t="s">
        <v>189</v>
      </c>
    </row>
    <row r="59" spans="1:15" x14ac:dyDescent="0.2">
      <c r="A59">
        <v>71717</v>
      </c>
      <c r="B59" s="7" t="s">
        <v>119</v>
      </c>
      <c r="C59">
        <v>1361</v>
      </c>
      <c r="D59">
        <v>77</v>
      </c>
      <c r="E59">
        <v>206</v>
      </c>
      <c r="F59">
        <v>8</v>
      </c>
      <c r="G59">
        <v>7</v>
      </c>
      <c r="I59" t="s">
        <v>26</v>
      </c>
      <c r="J59">
        <v>5.9</v>
      </c>
      <c r="K59">
        <v>5.91</v>
      </c>
      <c r="L59">
        <v>6.03</v>
      </c>
      <c r="M59">
        <v>100</v>
      </c>
      <c r="N59" s="7" t="s">
        <v>189</v>
      </c>
    </row>
    <row r="60" spans="1:15" x14ac:dyDescent="0.2">
      <c r="A60">
        <v>71717</v>
      </c>
      <c r="B60" s="7" t="s">
        <v>119</v>
      </c>
      <c r="C60">
        <v>1361</v>
      </c>
      <c r="D60">
        <v>77</v>
      </c>
      <c r="E60">
        <v>206</v>
      </c>
      <c r="F60">
        <v>9</v>
      </c>
      <c r="G60">
        <v>4</v>
      </c>
      <c r="I60" t="s">
        <v>26</v>
      </c>
      <c r="J60">
        <v>7.3</v>
      </c>
      <c r="K60">
        <v>9.41</v>
      </c>
      <c r="L60">
        <v>7.73</v>
      </c>
      <c r="M60">
        <v>100</v>
      </c>
      <c r="N60" s="7" t="s">
        <v>189</v>
      </c>
    </row>
    <row r="61" spans="1:15" x14ac:dyDescent="0.2">
      <c r="A61">
        <v>71717</v>
      </c>
      <c r="B61" s="7" t="s">
        <v>119</v>
      </c>
      <c r="C61">
        <v>1361</v>
      </c>
      <c r="D61">
        <v>77</v>
      </c>
      <c r="E61">
        <v>206</v>
      </c>
      <c r="F61">
        <v>10</v>
      </c>
      <c r="G61">
        <v>6</v>
      </c>
      <c r="I61" t="s">
        <v>26</v>
      </c>
      <c r="J61">
        <v>6.21</v>
      </c>
      <c r="K61">
        <v>6.4</v>
      </c>
      <c r="L61">
        <v>6.72</v>
      </c>
      <c r="M61">
        <v>100</v>
      </c>
      <c r="N61" s="7" t="s">
        <v>189</v>
      </c>
    </row>
    <row r="62" spans="1:15" x14ac:dyDescent="0.2">
      <c r="A62">
        <v>71717</v>
      </c>
      <c r="B62" t="s">
        <v>121</v>
      </c>
      <c r="C62">
        <v>445</v>
      </c>
      <c r="D62">
        <v>53</v>
      </c>
      <c r="E62">
        <v>43</v>
      </c>
      <c r="F62">
        <v>1</v>
      </c>
      <c r="G62">
        <v>7</v>
      </c>
      <c r="H62" t="s">
        <v>29</v>
      </c>
      <c r="I62">
        <v>40.61</v>
      </c>
      <c r="J62">
        <v>19</v>
      </c>
      <c r="K62" t="s">
        <v>26</v>
      </c>
      <c r="L62" t="s">
        <v>26</v>
      </c>
      <c r="M62" t="s">
        <v>26</v>
      </c>
      <c r="O62" t="s">
        <v>117</v>
      </c>
    </row>
    <row r="63" spans="1:15" x14ac:dyDescent="0.2">
      <c r="A63">
        <v>71717</v>
      </c>
      <c r="B63" t="s">
        <v>121</v>
      </c>
      <c r="C63">
        <v>445</v>
      </c>
      <c r="D63">
        <v>53</v>
      </c>
      <c r="E63">
        <v>43</v>
      </c>
      <c r="F63">
        <v>2</v>
      </c>
      <c r="G63">
        <v>8</v>
      </c>
      <c r="H63" t="s">
        <v>29</v>
      </c>
      <c r="I63">
        <v>40.869999999999997</v>
      </c>
      <c r="J63">
        <v>15</v>
      </c>
      <c r="K63" t="s">
        <v>26</v>
      </c>
      <c r="L63" t="s">
        <v>26</v>
      </c>
      <c r="M63" t="s">
        <v>26</v>
      </c>
      <c r="O63" s="7" t="s">
        <v>197</v>
      </c>
    </row>
    <row r="64" spans="1:15" x14ac:dyDescent="0.2">
      <c r="A64">
        <v>71717</v>
      </c>
      <c r="B64" t="s">
        <v>121</v>
      </c>
      <c r="C64">
        <v>445</v>
      </c>
      <c r="D64">
        <v>53</v>
      </c>
      <c r="E64">
        <v>43</v>
      </c>
      <c r="F64">
        <v>3</v>
      </c>
      <c r="G64">
        <v>8</v>
      </c>
      <c r="H64" t="s">
        <v>29</v>
      </c>
      <c r="I64">
        <v>42.79</v>
      </c>
      <c r="J64">
        <v>10</v>
      </c>
      <c r="K64" t="s">
        <v>26</v>
      </c>
      <c r="L64" t="s">
        <v>26</v>
      </c>
      <c r="M64" t="s">
        <v>26</v>
      </c>
    </row>
    <row r="65" spans="1:15" x14ac:dyDescent="0.2">
      <c r="A65">
        <v>71717</v>
      </c>
      <c r="B65" t="s">
        <v>121</v>
      </c>
      <c r="C65">
        <v>445</v>
      </c>
      <c r="D65">
        <v>53</v>
      </c>
      <c r="E65">
        <v>43</v>
      </c>
      <c r="F65">
        <v>4</v>
      </c>
      <c r="G65">
        <v>6</v>
      </c>
      <c r="H65" t="s">
        <v>29</v>
      </c>
      <c r="I65">
        <v>44.32</v>
      </c>
      <c r="J65">
        <v>10</v>
      </c>
      <c r="K65" t="s">
        <v>26</v>
      </c>
      <c r="L65" t="s">
        <v>26</v>
      </c>
      <c r="M65" t="s">
        <v>26</v>
      </c>
    </row>
    <row r="66" spans="1:15" x14ac:dyDescent="0.2">
      <c r="A66">
        <v>71717</v>
      </c>
      <c r="B66" t="s">
        <v>120</v>
      </c>
      <c r="C66">
        <v>487</v>
      </c>
      <c r="D66">
        <v>105</v>
      </c>
      <c r="E66">
        <v>66</v>
      </c>
      <c r="F66">
        <v>1</v>
      </c>
      <c r="G66">
        <v>9</v>
      </c>
      <c r="H66" t="s">
        <v>29</v>
      </c>
      <c r="I66" t="s">
        <v>26</v>
      </c>
      <c r="J66" t="s">
        <v>26</v>
      </c>
      <c r="K66" t="s">
        <v>26</v>
      </c>
      <c r="L66" t="s">
        <v>26</v>
      </c>
      <c r="M66" t="s">
        <v>26</v>
      </c>
      <c r="O66" t="s">
        <v>118</v>
      </c>
    </row>
    <row r="67" spans="1:15" x14ac:dyDescent="0.2">
      <c r="A67">
        <v>71717</v>
      </c>
      <c r="B67" t="s">
        <v>120</v>
      </c>
      <c r="C67">
        <v>487</v>
      </c>
      <c r="D67">
        <v>105</v>
      </c>
      <c r="E67">
        <v>66</v>
      </c>
      <c r="F67">
        <v>2</v>
      </c>
      <c r="G67">
        <v>12</v>
      </c>
      <c r="H67" t="s">
        <v>29</v>
      </c>
      <c r="I67">
        <v>40.97</v>
      </c>
      <c r="J67">
        <v>21</v>
      </c>
      <c r="K67" t="s">
        <v>26</v>
      </c>
      <c r="L67" t="s">
        <v>26</v>
      </c>
      <c r="M67" t="s">
        <v>26</v>
      </c>
    </row>
    <row r="68" spans="1:15" x14ac:dyDescent="0.2">
      <c r="A68">
        <v>71717</v>
      </c>
      <c r="B68" t="s">
        <v>120</v>
      </c>
      <c r="C68">
        <v>487</v>
      </c>
      <c r="D68">
        <v>105</v>
      </c>
      <c r="E68">
        <v>66</v>
      </c>
      <c r="F68">
        <v>3</v>
      </c>
      <c r="G68">
        <v>14</v>
      </c>
      <c r="H68" t="s">
        <v>29</v>
      </c>
      <c r="I68">
        <v>40.1</v>
      </c>
      <c r="J68">
        <v>24</v>
      </c>
      <c r="K68" t="s">
        <v>26</v>
      </c>
      <c r="L68" t="s">
        <v>26</v>
      </c>
      <c r="M68" t="s">
        <v>26</v>
      </c>
    </row>
    <row r="69" spans="1:15" x14ac:dyDescent="0.2">
      <c r="A69">
        <v>71717</v>
      </c>
      <c r="B69" t="s">
        <v>120</v>
      </c>
      <c r="C69">
        <v>487</v>
      </c>
      <c r="D69">
        <v>105</v>
      </c>
      <c r="E69">
        <v>66</v>
      </c>
      <c r="F69">
        <v>4</v>
      </c>
      <c r="G69">
        <v>11</v>
      </c>
      <c r="H69" t="s">
        <v>29</v>
      </c>
      <c r="I69">
        <v>40.28</v>
      </c>
      <c r="J69">
        <v>22</v>
      </c>
      <c r="K69" t="s">
        <v>26</v>
      </c>
      <c r="L69" t="s">
        <v>26</v>
      </c>
      <c r="M69" t="s">
        <v>26</v>
      </c>
    </row>
    <row r="70" spans="1:15" x14ac:dyDescent="0.2">
      <c r="A70">
        <v>71717</v>
      </c>
      <c r="B70" t="s">
        <v>120</v>
      </c>
      <c r="C70">
        <v>487</v>
      </c>
      <c r="D70">
        <v>105</v>
      </c>
      <c r="E70">
        <v>66</v>
      </c>
      <c r="F70">
        <v>5</v>
      </c>
      <c r="G70">
        <v>10</v>
      </c>
      <c r="H70" t="s">
        <v>29</v>
      </c>
      <c r="I70">
        <v>40.76</v>
      </c>
      <c r="J70">
        <v>17</v>
      </c>
      <c r="K70" t="s">
        <v>26</v>
      </c>
      <c r="L70" t="s">
        <v>26</v>
      </c>
      <c r="M70" t="s">
        <v>26</v>
      </c>
    </row>
    <row r="71" spans="1:15" x14ac:dyDescent="0.2">
      <c r="A71">
        <v>71717</v>
      </c>
      <c r="B71" t="s">
        <v>120</v>
      </c>
      <c r="C71">
        <v>487</v>
      </c>
      <c r="D71">
        <v>105</v>
      </c>
      <c r="E71">
        <v>66</v>
      </c>
      <c r="F71">
        <v>6</v>
      </c>
      <c r="G71">
        <v>15</v>
      </c>
      <c r="H71" t="s">
        <v>29</v>
      </c>
      <c r="I71">
        <v>42.42</v>
      </c>
      <c r="J71">
        <v>12</v>
      </c>
      <c r="K71" t="s">
        <v>26</v>
      </c>
      <c r="L71" t="s">
        <v>26</v>
      </c>
      <c r="M71" t="s">
        <v>26</v>
      </c>
    </row>
    <row r="72" spans="1:15" x14ac:dyDescent="0.2">
      <c r="A72">
        <v>72017</v>
      </c>
      <c r="B72" s="8" t="s">
        <v>167</v>
      </c>
      <c r="C72">
        <v>2660</v>
      </c>
      <c r="D72">
        <v>51</v>
      </c>
      <c r="E72">
        <v>286</v>
      </c>
      <c r="F72">
        <v>1</v>
      </c>
      <c r="G72">
        <v>8</v>
      </c>
      <c r="H72" t="s">
        <v>29</v>
      </c>
      <c r="I72">
        <v>41.42</v>
      </c>
      <c r="J72">
        <v>4</v>
      </c>
      <c r="K72" t="s">
        <v>26</v>
      </c>
      <c r="L72" t="s">
        <v>26</v>
      </c>
      <c r="M72" t="s">
        <v>26</v>
      </c>
      <c r="N72" s="7" t="s">
        <v>188</v>
      </c>
      <c r="O72" s="7" t="s">
        <v>185</v>
      </c>
    </row>
    <row r="73" spans="1:15" x14ac:dyDescent="0.2">
      <c r="A73">
        <v>72017</v>
      </c>
      <c r="B73" s="8" t="s">
        <v>167</v>
      </c>
      <c r="C73">
        <v>2660</v>
      </c>
      <c r="D73">
        <v>51</v>
      </c>
      <c r="E73">
        <v>286</v>
      </c>
      <c r="F73">
        <v>2</v>
      </c>
      <c r="G73">
        <v>13</v>
      </c>
      <c r="H73" t="s">
        <v>29</v>
      </c>
      <c r="I73">
        <v>43.09</v>
      </c>
      <c r="J73">
        <v>8</v>
      </c>
      <c r="K73" t="s">
        <v>26</v>
      </c>
      <c r="L73" t="s">
        <v>26</v>
      </c>
      <c r="M73" t="s">
        <v>26</v>
      </c>
      <c r="N73" s="7" t="s">
        <v>188</v>
      </c>
      <c r="O73" s="7"/>
    </row>
    <row r="74" spans="1:15" x14ac:dyDescent="0.2">
      <c r="A74">
        <v>72017</v>
      </c>
      <c r="B74" s="8" t="s">
        <v>167</v>
      </c>
      <c r="C74">
        <v>2660</v>
      </c>
      <c r="D74">
        <v>51</v>
      </c>
      <c r="E74">
        <v>286</v>
      </c>
      <c r="F74">
        <v>3</v>
      </c>
      <c r="G74">
        <v>15</v>
      </c>
      <c r="H74" t="s">
        <v>29</v>
      </c>
      <c r="I74">
        <v>54.06</v>
      </c>
      <c r="J74">
        <v>3</v>
      </c>
      <c r="K74" t="s">
        <v>26</v>
      </c>
      <c r="L74" t="s">
        <v>26</v>
      </c>
      <c r="M74" t="s">
        <v>26</v>
      </c>
      <c r="N74" s="7" t="s">
        <v>188</v>
      </c>
    </row>
    <row r="75" spans="1:15" x14ac:dyDescent="0.2">
      <c r="A75">
        <v>72017</v>
      </c>
      <c r="B75" s="8" t="s">
        <v>167</v>
      </c>
      <c r="C75">
        <v>2660</v>
      </c>
      <c r="D75">
        <v>51</v>
      </c>
      <c r="E75">
        <v>286</v>
      </c>
      <c r="F75">
        <v>4</v>
      </c>
      <c r="G75">
        <v>12</v>
      </c>
      <c r="H75" t="s">
        <v>29</v>
      </c>
      <c r="I75">
        <v>39.99</v>
      </c>
      <c r="J75">
        <v>11</v>
      </c>
      <c r="K75" t="s">
        <v>26</v>
      </c>
      <c r="L75" t="s">
        <v>26</v>
      </c>
      <c r="M75" t="s">
        <v>26</v>
      </c>
      <c r="N75" s="7" t="s">
        <v>188</v>
      </c>
    </row>
    <row r="76" spans="1:15" x14ac:dyDescent="0.2">
      <c r="A76">
        <v>72017</v>
      </c>
      <c r="B76" s="8" t="s">
        <v>167</v>
      </c>
      <c r="C76">
        <v>2660</v>
      </c>
      <c r="D76">
        <v>51</v>
      </c>
      <c r="E76">
        <v>286</v>
      </c>
      <c r="F76">
        <v>5</v>
      </c>
      <c r="G76">
        <v>12</v>
      </c>
      <c r="H76" t="s">
        <v>29</v>
      </c>
      <c r="I76">
        <v>52.18</v>
      </c>
      <c r="J76">
        <v>3</v>
      </c>
      <c r="K76" t="s">
        <v>26</v>
      </c>
      <c r="L76" t="s">
        <v>26</v>
      </c>
      <c r="M76" t="s">
        <v>26</v>
      </c>
      <c r="N76" s="7" t="s">
        <v>188</v>
      </c>
      <c r="O76" s="7" t="s">
        <v>186</v>
      </c>
    </row>
    <row r="77" spans="1:15" x14ac:dyDescent="0.2">
      <c r="A77">
        <v>72017</v>
      </c>
      <c r="B77" s="8" t="s">
        <v>167</v>
      </c>
      <c r="C77">
        <v>2660</v>
      </c>
      <c r="D77">
        <v>51</v>
      </c>
      <c r="E77">
        <v>286</v>
      </c>
      <c r="F77">
        <v>6</v>
      </c>
      <c r="G77">
        <v>17</v>
      </c>
      <c r="H77" t="s">
        <v>29</v>
      </c>
      <c r="I77">
        <v>41.12</v>
      </c>
      <c r="J77">
        <v>8</v>
      </c>
      <c r="K77" t="s">
        <v>26</v>
      </c>
      <c r="L77" t="s">
        <v>26</v>
      </c>
      <c r="M77" t="s">
        <v>26</v>
      </c>
      <c r="N77" s="7" t="s">
        <v>188</v>
      </c>
    </row>
    <row r="78" spans="1:15" x14ac:dyDescent="0.2">
      <c r="A78">
        <v>72017</v>
      </c>
      <c r="B78" s="8" t="s">
        <v>167</v>
      </c>
      <c r="C78">
        <v>2660</v>
      </c>
      <c r="D78">
        <v>51</v>
      </c>
      <c r="E78">
        <v>286</v>
      </c>
      <c r="F78">
        <v>7</v>
      </c>
      <c r="G78">
        <v>15</v>
      </c>
      <c r="H78" t="s">
        <v>29</v>
      </c>
      <c r="I78">
        <v>42.36</v>
      </c>
      <c r="J78">
        <v>17</v>
      </c>
      <c r="K78" t="s">
        <v>26</v>
      </c>
      <c r="L78" t="s">
        <v>26</v>
      </c>
      <c r="M78" t="s">
        <v>26</v>
      </c>
      <c r="N78" s="7" t="s">
        <v>188</v>
      </c>
    </row>
    <row r="79" spans="1:15" x14ac:dyDescent="0.2">
      <c r="A79">
        <v>72017</v>
      </c>
      <c r="B79" s="8" t="s">
        <v>167</v>
      </c>
      <c r="C79">
        <v>2660</v>
      </c>
      <c r="D79">
        <v>51</v>
      </c>
      <c r="E79">
        <v>286</v>
      </c>
      <c r="F79">
        <v>8</v>
      </c>
      <c r="G79">
        <v>10</v>
      </c>
      <c r="H79" t="s">
        <v>29</v>
      </c>
      <c r="I79">
        <v>41.69</v>
      </c>
      <c r="J79">
        <v>15</v>
      </c>
      <c r="K79" t="s">
        <v>26</v>
      </c>
      <c r="L79" t="s">
        <v>26</v>
      </c>
      <c r="M79" t="s">
        <v>26</v>
      </c>
      <c r="N79" s="7" t="s">
        <v>188</v>
      </c>
    </row>
    <row r="80" spans="1:15" x14ac:dyDescent="0.2">
      <c r="A80">
        <v>72017</v>
      </c>
      <c r="B80" s="8" t="s">
        <v>167</v>
      </c>
      <c r="C80">
        <v>2660</v>
      </c>
      <c r="D80">
        <v>51</v>
      </c>
      <c r="E80">
        <v>286</v>
      </c>
      <c r="F80">
        <v>9</v>
      </c>
      <c r="G80">
        <v>10</v>
      </c>
      <c r="H80" t="s">
        <v>29</v>
      </c>
      <c r="I80">
        <v>42.77</v>
      </c>
      <c r="J80">
        <v>9</v>
      </c>
      <c r="K80" t="s">
        <v>26</v>
      </c>
      <c r="L80" t="s">
        <v>26</v>
      </c>
      <c r="M80" t="s">
        <v>26</v>
      </c>
      <c r="N80" s="7" t="s">
        <v>188</v>
      </c>
      <c r="O80" s="7" t="s">
        <v>187</v>
      </c>
    </row>
    <row r="81" spans="1:15" x14ac:dyDescent="0.2">
      <c r="A81">
        <v>72017</v>
      </c>
      <c r="B81" s="8" t="s">
        <v>167</v>
      </c>
      <c r="C81">
        <v>2660</v>
      </c>
      <c r="D81">
        <v>51</v>
      </c>
      <c r="E81">
        <v>286</v>
      </c>
      <c r="F81">
        <v>10</v>
      </c>
      <c r="G81">
        <v>14</v>
      </c>
      <c r="H81" t="s">
        <v>29</v>
      </c>
      <c r="I81">
        <v>41.89</v>
      </c>
      <c r="J81">
        <v>13</v>
      </c>
      <c r="K81" t="s">
        <v>26</v>
      </c>
      <c r="L81" t="s">
        <v>26</v>
      </c>
      <c r="M81" t="s">
        <v>26</v>
      </c>
      <c r="N81" s="7" t="s">
        <v>188</v>
      </c>
    </row>
    <row r="82" spans="1:15" x14ac:dyDescent="0.2">
      <c r="A82">
        <v>72017</v>
      </c>
      <c r="B82" s="7" t="s">
        <v>166</v>
      </c>
      <c r="C82">
        <v>2108</v>
      </c>
      <c r="D82">
        <v>49</v>
      </c>
      <c r="E82">
        <v>303</v>
      </c>
      <c r="F82">
        <v>1</v>
      </c>
      <c r="G82">
        <v>15</v>
      </c>
      <c r="H82" t="s">
        <v>29</v>
      </c>
      <c r="I82">
        <v>40.89</v>
      </c>
      <c r="J82">
        <v>12</v>
      </c>
      <c r="K82" t="s">
        <v>26</v>
      </c>
      <c r="L82" t="s">
        <v>26</v>
      </c>
      <c r="M82" t="s">
        <v>26</v>
      </c>
      <c r="N82" s="7" t="s">
        <v>188</v>
      </c>
      <c r="O82" s="7"/>
    </row>
    <row r="83" spans="1:15" x14ac:dyDescent="0.2">
      <c r="A83">
        <v>72017</v>
      </c>
      <c r="B83" s="7" t="s">
        <v>166</v>
      </c>
      <c r="C83">
        <v>2108</v>
      </c>
      <c r="D83">
        <v>49</v>
      </c>
      <c r="E83">
        <v>303</v>
      </c>
      <c r="F83">
        <v>2</v>
      </c>
      <c r="G83">
        <v>15</v>
      </c>
      <c r="H83" t="s">
        <v>29</v>
      </c>
      <c r="I83">
        <v>45.24</v>
      </c>
      <c r="J83">
        <v>7</v>
      </c>
      <c r="K83" t="s">
        <v>26</v>
      </c>
      <c r="L83" t="s">
        <v>26</v>
      </c>
      <c r="M83" t="s">
        <v>26</v>
      </c>
      <c r="N83" s="7" t="s">
        <v>188</v>
      </c>
    </row>
    <row r="84" spans="1:15" x14ac:dyDescent="0.2">
      <c r="A84">
        <v>72017</v>
      </c>
      <c r="B84" s="7" t="s">
        <v>166</v>
      </c>
      <c r="C84">
        <v>2108</v>
      </c>
      <c r="D84">
        <v>49</v>
      </c>
      <c r="E84">
        <v>303</v>
      </c>
      <c r="F84">
        <v>3</v>
      </c>
      <c r="G84">
        <v>21</v>
      </c>
      <c r="H84">
        <v>8.4</v>
      </c>
      <c r="I84">
        <v>40.81</v>
      </c>
      <c r="J84">
        <v>24</v>
      </c>
      <c r="K84" t="s">
        <v>26</v>
      </c>
      <c r="L84" t="s">
        <v>26</v>
      </c>
      <c r="M84" t="s">
        <v>26</v>
      </c>
      <c r="N84" s="7" t="s">
        <v>188</v>
      </c>
    </row>
    <row r="85" spans="1:15" x14ac:dyDescent="0.2">
      <c r="A85">
        <v>72017</v>
      </c>
      <c r="B85" s="7" t="s">
        <v>166</v>
      </c>
      <c r="C85">
        <v>2108</v>
      </c>
      <c r="D85">
        <v>49</v>
      </c>
      <c r="E85">
        <v>303</v>
      </c>
      <c r="F85">
        <v>4</v>
      </c>
      <c r="G85">
        <v>19</v>
      </c>
      <c r="H85">
        <v>7.6</v>
      </c>
      <c r="I85">
        <v>41.98</v>
      </c>
      <c r="J85">
        <v>11</v>
      </c>
      <c r="K85" t="s">
        <v>26</v>
      </c>
      <c r="L85" t="s">
        <v>26</v>
      </c>
      <c r="M85" t="s">
        <v>26</v>
      </c>
      <c r="N85" s="7" t="s">
        <v>188</v>
      </c>
    </row>
    <row r="86" spans="1:15" x14ac:dyDescent="0.2">
      <c r="A86">
        <v>72017</v>
      </c>
      <c r="B86" s="7" t="s">
        <v>166</v>
      </c>
      <c r="C86">
        <v>2108</v>
      </c>
      <c r="D86">
        <v>49</v>
      </c>
      <c r="E86">
        <v>303</v>
      </c>
      <c r="F86">
        <v>5</v>
      </c>
      <c r="G86">
        <v>18</v>
      </c>
      <c r="H86" s="7" t="s">
        <v>29</v>
      </c>
      <c r="I86">
        <v>40.299999999999997</v>
      </c>
      <c r="J86">
        <v>22</v>
      </c>
      <c r="K86" t="s">
        <v>26</v>
      </c>
      <c r="L86" t="s">
        <v>26</v>
      </c>
      <c r="M86" t="s">
        <v>26</v>
      </c>
      <c r="N86" s="7" t="s">
        <v>188</v>
      </c>
    </row>
    <row r="87" spans="1:15" x14ac:dyDescent="0.2">
      <c r="A87">
        <v>72017</v>
      </c>
      <c r="B87" s="7" t="s">
        <v>166</v>
      </c>
      <c r="C87">
        <v>2108</v>
      </c>
      <c r="D87">
        <v>49</v>
      </c>
      <c r="E87">
        <v>303</v>
      </c>
      <c r="F87">
        <v>6</v>
      </c>
      <c r="G87">
        <v>19</v>
      </c>
      <c r="H87">
        <v>7.6</v>
      </c>
      <c r="I87">
        <v>40.46</v>
      </c>
      <c r="J87">
        <v>30</v>
      </c>
      <c r="K87" t="s">
        <v>26</v>
      </c>
      <c r="L87" t="s">
        <v>26</v>
      </c>
      <c r="M87" t="s">
        <v>26</v>
      </c>
      <c r="N87" s="7" t="s">
        <v>188</v>
      </c>
    </row>
    <row r="88" spans="1:15" x14ac:dyDescent="0.2">
      <c r="A88">
        <v>72017</v>
      </c>
      <c r="B88" s="7" t="s">
        <v>166</v>
      </c>
      <c r="C88">
        <v>2108</v>
      </c>
      <c r="D88">
        <v>49</v>
      </c>
      <c r="E88">
        <v>303</v>
      </c>
      <c r="F88">
        <v>7</v>
      </c>
      <c r="G88">
        <v>15</v>
      </c>
      <c r="H88" s="7" t="s">
        <v>29</v>
      </c>
      <c r="I88">
        <v>41.15</v>
      </c>
      <c r="J88">
        <v>24</v>
      </c>
      <c r="K88" t="s">
        <v>26</v>
      </c>
      <c r="L88" t="s">
        <v>26</v>
      </c>
      <c r="M88" t="s">
        <v>26</v>
      </c>
      <c r="N88" s="7" t="s">
        <v>188</v>
      </c>
    </row>
    <row r="89" spans="1:15" x14ac:dyDescent="0.2">
      <c r="A89">
        <v>72017</v>
      </c>
      <c r="B89" s="7" t="s">
        <v>166</v>
      </c>
      <c r="C89">
        <v>2108</v>
      </c>
      <c r="D89">
        <v>49</v>
      </c>
      <c r="E89">
        <v>303</v>
      </c>
      <c r="F89">
        <v>8</v>
      </c>
      <c r="G89">
        <v>13</v>
      </c>
      <c r="H89" s="7" t="s">
        <v>29</v>
      </c>
      <c r="I89">
        <v>41.2</v>
      </c>
      <c r="J89">
        <v>15</v>
      </c>
      <c r="K89" t="s">
        <v>26</v>
      </c>
      <c r="L89" t="s">
        <v>26</v>
      </c>
      <c r="M89" t="s">
        <v>26</v>
      </c>
      <c r="N89" s="7" t="s">
        <v>188</v>
      </c>
    </row>
    <row r="90" spans="1:15" x14ac:dyDescent="0.2">
      <c r="A90">
        <v>72017</v>
      </c>
      <c r="B90" s="7" t="s">
        <v>166</v>
      </c>
      <c r="C90">
        <v>2108</v>
      </c>
      <c r="D90">
        <v>49</v>
      </c>
      <c r="E90">
        <v>303</v>
      </c>
      <c r="F90">
        <v>9</v>
      </c>
      <c r="G90">
        <v>10</v>
      </c>
      <c r="H90" s="7" t="s">
        <v>29</v>
      </c>
      <c r="I90">
        <v>40.659999999999997</v>
      </c>
      <c r="J90">
        <v>10</v>
      </c>
      <c r="K90" t="s">
        <v>26</v>
      </c>
      <c r="L90" t="s">
        <v>26</v>
      </c>
      <c r="M90" t="s">
        <v>26</v>
      </c>
      <c r="N90" s="7" t="s">
        <v>188</v>
      </c>
    </row>
    <row r="91" spans="1:15" x14ac:dyDescent="0.2">
      <c r="A91">
        <v>72017</v>
      </c>
      <c r="B91" s="7" t="s">
        <v>166</v>
      </c>
      <c r="C91">
        <v>2108</v>
      </c>
      <c r="D91">
        <v>49</v>
      </c>
      <c r="E91">
        <v>303</v>
      </c>
      <c r="F91">
        <v>10</v>
      </c>
      <c r="G91">
        <v>6</v>
      </c>
      <c r="H91" s="7" t="s">
        <v>29</v>
      </c>
      <c r="I91">
        <v>47.53</v>
      </c>
      <c r="J91">
        <v>2</v>
      </c>
      <c r="K91" t="s">
        <v>26</v>
      </c>
      <c r="L91" t="s">
        <v>26</v>
      </c>
      <c r="M91" t="s">
        <v>26</v>
      </c>
      <c r="N91" s="7" t="s">
        <v>188</v>
      </c>
      <c r="O91" s="7" t="s">
        <v>185</v>
      </c>
    </row>
    <row r="92" spans="1:15" x14ac:dyDescent="0.2">
      <c r="A92">
        <v>72017</v>
      </c>
      <c r="B92" s="7" t="s">
        <v>164</v>
      </c>
      <c r="C92">
        <v>654</v>
      </c>
      <c r="D92">
        <v>48</v>
      </c>
      <c r="E92">
        <v>108</v>
      </c>
      <c r="F92">
        <v>1</v>
      </c>
      <c r="G92">
        <v>24</v>
      </c>
      <c r="H92">
        <v>9.6</v>
      </c>
      <c r="I92">
        <v>41.8</v>
      </c>
      <c r="J92">
        <v>5</v>
      </c>
      <c r="K92" t="s">
        <v>26</v>
      </c>
      <c r="L92" t="s">
        <v>26</v>
      </c>
      <c r="M92" t="s">
        <v>26</v>
      </c>
      <c r="N92" s="7" t="s">
        <v>188</v>
      </c>
      <c r="O92" s="7"/>
    </row>
    <row r="93" spans="1:15" x14ac:dyDescent="0.2">
      <c r="A93">
        <v>72017</v>
      </c>
      <c r="B93" s="7" t="s">
        <v>164</v>
      </c>
      <c r="C93">
        <v>654</v>
      </c>
      <c r="D93">
        <v>48</v>
      </c>
      <c r="E93">
        <v>108</v>
      </c>
      <c r="F93">
        <v>2</v>
      </c>
      <c r="G93">
        <v>23</v>
      </c>
      <c r="H93">
        <v>9.1999999999999993</v>
      </c>
      <c r="I93">
        <v>49.7</v>
      </c>
      <c r="J93">
        <v>4</v>
      </c>
      <c r="K93" t="s">
        <v>26</v>
      </c>
      <c r="L93" t="s">
        <v>26</v>
      </c>
      <c r="M93" t="s">
        <v>26</v>
      </c>
      <c r="N93" s="7" t="s">
        <v>188</v>
      </c>
    </row>
    <row r="94" spans="1:15" x14ac:dyDescent="0.2">
      <c r="A94">
        <v>72017</v>
      </c>
      <c r="B94" s="7" t="s">
        <v>164</v>
      </c>
      <c r="C94">
        <v>654</v>
      </c>
      <c r="D94">
        <v>48</v>
      </c>
      <c r="E94">
        <v>108</v>
      </c>
      <c r="F94">
        <v>3</v>
      </c>
      <c r="G94">
        <v>15</v>
      </c>
      <c r="H94" s="7" t="s">
        <v>29</v>
      </c>
      <c r="I94">
        <v>44.98</v>
      </c>
      <c r="J94">
        <v>7</v>
      </c>
      <c r="K94" t="s">
        <v>26</v>
      </c>
      <c r="L94" t="s">
        <v>26</v>
      </c>
      <c r="M94" t="s">
        <v>26</v>
      </c>
      <c r="N94" s="7" t="s">
        <v>188</v>
      </c>
    </row>
    <row r="95" spans="1:15" x14ac:dyDescent="0.2">
      <c r="A95">
        <v>72017</v>
      </c>
      <c r="B95" s="7" t="s">
        <v>164</v>
      </c>
      <c r="C95">
        <v>654</v>
      </c>
      <c r="D95">
        <v>48</v>
      </c>
      <c r="E95">
        <v>108</v>
      </c>
      <c r="F95">
        <v>4</v>
      </c>
      <c r="G95">
        <v>11</v>
      </c>
      <c r="H95" s="7" t="s">
        <v>29</v>
      </c>
      <c r="I95">
        <v>41.16</v>
      </c>
      <c r="J95">
        <v>12</v>
      </c>
      <c r="K95" t="s">
        <v>26</v>
      </c>
      <c r="L95" t="s">
        <v>26</v>
      </c>
      <c r="M95" t="s">
        <v>26</v>
      </c>
      <c r="N95" s="7" t="s">
        <v>188</v>
      </c>
    </row>
    <row r="96" spans="1:15" x14ac:dyDescent="0.2">
      <c r="A96">
        <v>72017</v>
      </c>
      <c r="B96" s="7" t="s">
        <v>164</v>
      </c>
      <c r="C96">
        <v>654</v>
      </c>
      <c r="D96">
        <v>48</v>
      </c>
      <c r="E96">
        <v>108</v>
      </c>
      <c r="F96">
        <v>5</v>
      </c>
      <c r="G96">
        <v>14</v>
      </c>
      <c r="H96" s="7" t="s">
        <v>29</v>
      </c>
      <c r="I96">
        <v>40.659999999999997</v>
      </c>
      <c r="J96">
        <v>20</v>
      </c>
      <c r="K96" t="s">
        <v>26</v>
      </c>
      <c r="L96" t="s">
        <v>26</v>
      </c>
      <c r="M96" t="s">
        <v>26</v>
      </c>
      <c r="N96" s="7" t="s">
        <v>188</v>
      </c>
    </row>
    <row r="97" spans="1:15" x14ac:dyDescent="0.2">
      <c r="A97">
        <v>72017</v>
      </c>
      <c r="B97" s="7" t="s">
        <v>164</v>
      </c>
      <c r="C97">
        <v>654</v>
      </c>
      <c r="D97">
        <v>48</v>
      </c>
      <c r="E97">
        <v>108</v>
      </c>
      <c r="F97">
        <v>6</v>
      </c>
      <c r="G97">
        <v>17</v>
      </c>
      <c r="H97" s="7" t="s">
        <v>29</v>
      </c>
      <c r="I97">
        <v>40.31</v>
      </c>
      <c r="J97">
        <v>17</v>
      </c>
      <c r="K97" t="s">
        <v>26</v>
      </c>
      <c r="L97" t="s">
        <v>26</v>
      </c>
      <c r="M97" t="s">
        <v>26</v>
      </c>
      <c r="N97" s="7" t="s">
        <v>188</v>
      </c>
    </row>
    <row r="98" spans="1:15" x14ac:dyDescent="0.2">
      <c r="A98">
        <v>72017</v>
      </c>
      <c r="B98" s="7" t="s">
        <v>164</v>
      </c>
      <c r="C98">
        <v>654</v>
      </c>
      <c r="D98">
        <v>48</v>
      </c>
      <c r="E98">
        <v>108</v>
      </c>
      <c r="F98">
        <v>7</v>
      </c>
      <c r="G98">
        <v>16</v>
      </c>
      <c r="H98" s="7" t="s">
        <v>29</v>
      </c>
      <c r="I98">
        <v>45.42</v>
      </c>
      <c r="J98">
        <v>8</v>
      </c>
      <c r="K98" t="s">
        <v>26</v>
      </c>
      <c r="L98" t="s">
        <v>26</v>
      </c>
      <c r="M98" t="s">
        <v>26</v>
      </c>
      <c r="N98" s="7" t="s">
        <v>188</v>
      </c>
    </row>
    <row r="99" spans="1:15" x14ac:dyDescent="0.2">
      <c r="A99">
        <v>72017</v>
      </c>
      <c r="B99" s="7" t="s">
        <v>164</v>
      </c>
      <c r="C99">
        <v>654</v>
      </c>
      <c r="D99">
        <v>48</v>
      </c>
      <c r="E99">
        <v>108</v>
      </c>
      <c r="F99">
        <v>8</v>
      </c>
      <c r="G99">
        <v>14</v>
      </c>
      <c r="H99" s="7" t="s">
        <v>29</v>
      </c>
      <c r="I99">
        <v>42.13</v>
      </c>
      <c r="J99">
        <v>8</v>
      </c>
      <c r="K99" t="s">
        <v>26</v>
      </c>
      <c r="L99" t="s">
        <v>26</v>
      </c>
      <c r="M99" t="s">
        <v>26</v>
      </c>
      <c r="N99" s="7" t="s">
        <v>188</v>
      </c>
    </row>
    <row r="100" spans="1:15" x14ac:dyDescent="0.2">
      <c r="A100">
        <v>72017</v>
      </c>
      <c r="B100" s="7" t="s">
        <v>164</v>
      </c>
      <c r="C100">
        <v>654</v>
      </c>
      <c r="D100">
        <v>48</v>
      </c>
      <c r="E100">
        <v>108</v>
      </c>
      <c r="F100">
        <v>9</v>
      </c>
      <c r="G100">
        <v>13</v>
      </c>
      <c r="H100" s="7" t="s">
        <v>29</v>
      </c>
      <c r="I100">
        <v>40.99</v>
      </c>
      <c r="J100">
        <v>6</v>
      </c>
      <c r="K100" t="s">
        <v>26</v>
      </c>
      <c r="L100" t="s">
        <v>26</v>
      </c>
      <c r="M100" t="s">
        <v>26</v>
      </c>
      <c r="N100" s="7" t="s">
        <v>188</v>
      </c>
    </row>
    <row r="101" spans="1:15" x14ac:dyDescent="0.2">
      <c r="A101">
        <v>72017</v>
      </c>
      <c r="B101" s="7" t="s">
        <v>164</v>
      </c>
      <c r="C101">
        <v>654</v>
      </c>
      <c r="D101">
        <v>48</v>
      </c>
      <c r="E101">
        <v>108</v>
      </c>
      <c r="F101">
        <v>10</v>
      </c>
      <c r="G101">
        <v>14</v>
      </c>
      <c r="H101" s="7" t="s">
        <v>29</v>
      </c>
      <c r="I101">
        <v>43.38</v>
      </c>
      <c r="J101">
        <v>5</v>
      </c>
      <c r="K101" t="s">
        <v>26</v>
      </c>
      <c r="L101" t="s">
        <v>26</v>
      </c>
      <c r="M101" t="s">
        <v>26</v>
      </c>
      <c r="N101" s="7" t="s">
        <v>188</v>
      </c>
    </row>
    <row r="102" spans="1:15" x14ac:dyDescent="0.2">
      <c r="A102">
        <v>72017</v>
      </c>
      <c r="B102" s="7" t="s">
        <v>163</v>
      </c>
      <c r="C102">
        <v>350</v>
      </c>
      <c r="D102">
        <v>37</v>
      </c>
      <c r="E102">
        <v>88</v>
      </c>
      <c r="F102">
        <v>1</v>
      </c>
      <c r="G102">
        <v>12</v>
      </c>
      <c r="H102" s="7" t="s">
        <v>29</v>
      </c>
      <c r="I102" t="s">
        <v>26</v>
      </c>
      <c r="J102" t="s">
        <v>26</v>
      </c>
      <c r="K102" t="s">
        <v>26</v>
      </c>
      <c r="L102" t="s">
        <v>26</v>
      </c>
      <c r="M102" t="s">
        <v>26</v>
      </c>
      <c r="N102" s="7" t="s">
        <v>190</v>
      </c>
      <c r="O102" s="7" t="s">
        <v>191</v>
      </c>
    </row>
    <row r="103" spans="1:15" x14ac:dyDescent="0.2">
      <c r="A103">
        <v>72017</v>
      </c>
      <c r="B103" s="7" t="s">
        <v>163</v>
      </c>
      <c r="C103">
        <v>350</v>
      </c>
      <c r="D103">
        <v>37</v>
      </c>
      <c r="E103">
        <v>88</v>
      </c>
      <c r="F103">
        <v>2</v>
      </c>
      <c r="G103">
        <v>15</v>
      </c>
      <c r="H103" s="7" t="s">
        <v>29</v>
      </c>
      <c r="I103" t="s">
        <v>26</v>
      </c>
      <c r="J103" t="s">
        <v>26</v>
      </c>
      <c r="K103" t="s">
        <v>26</v>
      </c>
      <c r="L103" t="s">
        <v>26</v>
      </c>
      <c r="M103" t="s">
        <v>26</v>
      </c>
      <c r="N103" s="7" t="s">
        <v>190</v>
      </c>
      <c r="O103" s="7" t="s">
        <v>191</v>
      </c>
    </row>
    <row r="104" spans="1:15" x14ac:dyDescent="0.2">
      <c r="A104">
        <v>72017</v>
      </c>
      <c r="B104" s="7" t="s">
        <v>163</v>
      </c>
      <c r="C104">
        <v>350</v>
      </c>
      <c r="D104">
        <v>37</v>
      </c>
      <c r="E104">
        <v>88</v>
      </c>
      <c r="F104">
        <v>3</v>
      </c>
      <c r="G104">
        <v>16</v>
      </c>
      <c r="H104" s="7" t="s">
        <v>29</v>
      </c>
      <c r="I104" t="s">
        <v>26</v>
      </c>
      <c r="J104" t="s">
        <v>26</v>
      </c>
      <c r="K104" t="s">
        <v>26</v>
      </c>
      <c r="L104" t="s">
        <v>26</v>
      </c>
      <c r="M104" t="s">
        <v>26</v>
      </c>
      <c r="N104" s="7" t="s">
        <v>190</v>
      </c>
      <c r="O104" s="7" t="s">
        <v>191</v>
      </c>
    </row>
    <row r="105" spans="1:15" x14ac:dyDescent="0.2">
      <c r="A105">
        <v>72017</v>
      </c>
      <c r="B105" s="7" t="s">
        <v>163</v>
      </c>
      <c r="C105">
        <v>350</v>
      </c>
      <c r="D105">
        <v>37</v>
      </c>
      <c r="E105">
        <v>88</v>
      </c>
      <c r="F105">
        <v>4</v>
      </c>
      <c r="G105">
        <v>11</v>
      </c>
      <c r="H105" s="7" t="s">
        <v>29</v>
      </c>
      <c r="I105">
        <v>42.74</v>
      </c>
      <c r="J105">
        <v>6</v>
      </c>
      <c r="N105" s="7" t="s">
        <v>190</v>
      </c>
    </row>
    <row r="106" spans="1:15" x14ac:dyDescent="0.2">
      <c r="A106">
        <v>72017</v>
      </c>
      <c r="B106" s="7" t="s">
        <v>163</v>
      </c>
      <c r="C106">
        <v>350</v>
      </c>
      <c r="D106">
        <v>37</v>
      </c>
      <c r="E106">
        <v>88</v>
      </c>
      <c r="F106">
        <v>5</v>
      </c>
      <c r="G106">
        <v>9</v>
      </c>
      <c r="H106" s="7" t="s">
        <v>29</v>
      </c>
      <c r="I106">
        <v>40.619999999999997</v>
      </c>
      <c r="J106">
        <v>15</v>
      </c>
      <c r="N106" s="7" t="s">
        <v>190</v>
      </c>
    </row>
    <row r="107" spans="1:15" x14ac:dyDescent="0.2">
      <c r="A107">
        <v>72017</v>
      </c>
      <c r="B107" s="7" t="s">
        <v>163</v>
      </c>
      <c r="C107">
        <v>350</v>
      </c>
      <c r="D107">
        <v>37</v>
      </c>
      <c r="E107">
        <v>88</v>
      </c>
      <c r="F107">
        <v>6</v>
      </c>
      <c r="G107">
        <v>10</v>
      </c>
      <c r="H107" s="7" t="s">
        <v>29</v>
      </c>
      <c r="I107">
        <v>44.33</v>
      </c>
      <c r="J107">
        <v>7</v>
      </c>
      <c r="N107" s="7" t="s">
        <v>190</v>
      </c>
    </row>
    <row r="108" spans="1:15" x14ac:dyDescent="0.2">
      <c r="A108">
        <v>72017</v>
      </c>
      <c r="B108" s="7" t="s">
        <v>163</v>
      </c>
      <c r="C108">
        <v>350</v>
      </c>
      <c r="D108">
        <v>37</v>
      </c>
      <c r="E108">
        <v>88</v>
      </c>
      <c r="F108">
        <v>7</v>
      </c>
      <c r="G108">
        <v>11</v>
      </c>
      <c r="H108" s="7" t="s">
        <v>29</v>
      </c>
      <c r="I108">
        <v>44.34</v>
      </c>
      <c r="J108">
        <v>13</v>
      </c>
      <c r="N108" s="7" t="s">
        <v>190</v>
      </c>
    </row>
    <row r="109" spans="1:15" x14ac:dyDescent="0.2">
      <c r="A109">
        <v>72017</v>
      </c>
      <c r="B109" s="7" t="s">
        <v>163</v>
      </c>
      <c r="C109">
        <v>350</v>
      </c>
      <c r="D109">
        <v>37</v>
      </c>
      <c r="E109">
        <v>88</v>
      </c>
      <c r="F109">
        <v>8</v>
      </c>
      <c r="G109">
        <v>11</v>
      </c>
      <c r="H109" s="7" t="s">
        <v>29</v>
      </c>
      <c r="I109">
        <v>42.1</v>
      </c>
      <c r="J109">
        <v>9</v>
      </c>
      <c r="N109" s="7" t="s">
        <v>190</v>
      </c>
    </row>
    <row r="110" spans="1:15" x14ac:dyDescent="0.2">
      <c r="A110">
        <v>72017</v>
      </c>
      <c r="B110" s="7" t="s">
        <v>162</v>
      </c>
      <c r="C110">
        <v>521</v>
      </c>
      <c r="D110">
        <v>68</v>
      </c>
      <c r="E110">
        <v>36</v>
      </c>
      <c r="F110">
        <v>1</v>
      </c>
      <c r="G110">
        <v>8</v>
      </c>
      <c r="H110" s="7" t="s">
        <v>29</v>
      </c>
      <c r="I110" s="7">
        <v>42.95</v>
      </c>
      <c r="J110" s="7">
        <v>12</v>
      </c>
      <c r="N110" s="7" t="s">
        <v>188</v>
      </c>
    </row>
    <row r="111" spans="1:15" x14ac:dyDescent="0.2">
      <c r="A111">
        <v>72017</v>
      </c>
      <c r="B111" s="7" t="s">
        <v>162</v>
      </c>
      <c r="C111">
        <v>521</v>
      </c>
      <c r="D111">
        <v>68</v>
      </c>
      <c r="E111">
        <v>36</v>
      </c>
      <c r="F111">
        <v>2</v>
      </c>
      <c r="G111">
        <v>9</v>
      </c>
      <c r="H111" s="7" t="s">
        <v>29</v>
      </c>
      <c r="I111" s="7">
        <v>42.85</v>
      </c>
      <c r="J111" s="7">
        <v>7</v>
      </c>
      <c r="N111" s="7" t="s">
        <v>188</v>
      </c>
    </row>
    <row r="112" spans="1:15" x14ac:dyDescent="0.2">
      <c r="A112">
        <v>72017</v>
      </c>
      <c r="B112" s="7" t="s">
        <v>162</v>
      </c>
      <c r="C112">
        <v>521</v>
      </c>
      <c r="D112">
        <v>68</v>
      </c>
      <c r="E112">
        <v>36</v>
      </c>
      <c r="F112">
        <v>3</v>
      </c>
      <c r="G112">
        <v>7</v>
      </c>
      <c r="H112" s="7" t="s">
        <v>29</v>
      </c>
      <c r="I112" s="7">
        <v>42.72</v>
      </c>
      <c r="J112" s="7">
        <v>12</v>
      </c>
      <c r="N112" s="7" t="s">
        <v>188</v>
      </c>
    </row>
    <row r="113" spans="1:15" x14ac:dyDescent="0.2">
      <c r="A113">
        <v>72017</v>
      </c>
      <c r="B113" s="7" t="s">
        <v>161</v>
      </c>
      <c r="C113">
        <v>400</v>
      </c>
      <c r="D113">
        <v>98</v>
      </c>
      <c r="E113">
        <v>42</v>
      </c>
      <c r="F113">
        <v>1</v>
      </c>
      <c r="G113">
        <v>7</v>
      </c>
      <c r="H113" s="7" t="s">
        <v>29</v>
      </c>
      <c r="I113" s="7">
        <v>42.69</v>
      </c>
      <c r="J113" s="7">
        <v>8</v>
      </c>
      <c r="N113" s="7" t="s">
        <v>188</v>
      </c>
    </row>
    <row r="114" spans="1:15" x14ac:dyDescent="0.2">
      <c r="A114">
        <v>72017</v>
      </c>
      <c r="B114" s="7" t="s">
        <v>161</v>
      </c>
      <c r="C114">
        <v>400</v>
      </c>
      <c r="D114">
        <v>98</v>
      </c>
      <c r="E114">
        <v>42</v>
      </c>
      <c r="F114">
        <v>2</v>
      </c>
      <c r="G114">
        <v>11</v>
      </c>
      <c r="H114" s="7" t="s">
        <v>29</v>
      </c>
      <c r="I114" s="7">
        <v>40.06</v>
      </c>
      <c r="J114" s="7">
        <v>7</v>
      </c>
      <c r="N114" s="7" t="s">
        <v>188</v>
      </c>
    </row>
    <row r="115" spans="1:15" x14ac:dyDescent="0.2">
      <c r="A115">
        <v>72017</v>
      </c>
      <c r="B115" s="7" t="s">
        <v>161</v>
      </c>
      <c r="C115">
        <v>400</v>
      </c>
      <c r="D115">
        <v>98</v>
      </c>
      <c r="E115">
        <v>42</v>
      </c>
      <c r="F115">
        <v>3</v>
      </c>
      <c r="G115">
        <v>10</v>
      </c>
      <c r="H115" s="7" t="s">
        <v>29</v>
      </c>
      <c r="I115" s="7">
        <v>51.09</v>
      </c>
      <c r="J115" s="7">
        <v>3</v>
      </c>
      <c r="N115" s="7" t="s">
        <v>188</v>
      </c>
    </row>
    <row r="116" spans="1:15" x14ac:dyDescent="0.2">
      <c r="A116">
        <v>72017</v>
      </c>
      <c r="B116" s="7" t="s">
        <v>165</v>
      </c>
      <c r="C116">
        <v>803</v>
      </c>
      <c r="D116">
        <v>43</v>
      </c>
      <c r="E116">
        <v>121</v>
      </c>
      <c r="F116">
        <v>1</v>
      </c>
      <c r="G116">
        <v>13</v>
      </c>
      <c r="H116" s="7" t="s">
        <v>29</v>
      </c>
      <c r="I116" s="7">
        <v>52.57</v>
      </c>
      <c r="J116" s="7">
        <v>4</v>
      </c>
      <c r="N116" s="7" t="s">
        <v>188</v>
      </c>
    </row>
    <row r="117" spans="1:15" x14ac:dyDescent="0.2">
      <c r="A117">
        <v>72017</v>
      </c>
      <c r="B117" s="7" t="s">
        <v>165</v>
      </c>
      <c r="C117">
        <v>803</v>
      </c>
      <c r="D117">
        <v>43</v>
      </c>
      <c r="E117">
        <v>121</v>
      </c>
      <c r="F117">
        <v>2</v>
      </c>
      <c r="G117">
        <v>14</v>
      </c>
      <c r="H117" s="7" t="s">
        <v>29</v>
      </c>
      <c r="I117" s="7">
        <v>40.47</v>
      </c>
      <c r="J117" s="7">
        <v>8</v>
      </c>
      <c r="N117" s="7" t="s">
        <v>188</v>
      </c>
    </row>
    <row r="118" spans="1:15" x14ac:dyDescent="0.2">
      <c r="A118">
        <v>72017</v>
      </c>
      <c r="B118" s="7" t="s">
        <v>165</v>
      </c>
      <c r="C118">
        <v>803</v>
      </c>
      <c r="D118">
        <v>43</v>
      </c>
      <c r="E118">
        <v>121</v>
      </c>
      <c r="F118">
        <v>3</v>
      </c>
      <c r="G118">
        <v>15</v>
      </c>
      <c r="H118" s="7" t="s">
        <v>29</v>
      </c>
      <c r="I118" s="7">
        <v>40.659999999999997</v>
      </c>
      <c r="J118" s="7">
        <v>6</v>
      </c>
      <c r="N118" s="7" t="s">
        <v>188</v>
      </c>
    </row>
    <row r="119" spans="1:15" x14ac:dyDescent="0.2">
      <c r="A119">
        <v>72017</v>
      </c>
      <c r="B119" s="7" t="s">
        <v>165</v>
      </c>
      <c r="C119">
        <v>803</v>
      </c>
      <c r="D119">
        <v>43</v>
      </c>
      <c r="E119">
        <v>121</v>
      </c>
      <c r="F119">
        <v>4</v>
      </c>
      <c r="G119">
        <v>12</v>
      </c>
      <c r="H119" s="7" t="s">
        <v>29</v>
      </c>
      <c r="I119" s="7">
        <v>40.39</v>
      </c>
      <c r="J119" s="7">
        <v>14</v>
      </c>
      <c r="N119" s="7" t="s">
        <v>188</v>
      </c>
    </row>
    <row r="120" spans="1:15" x14ac:dyDescent="0.2">
      <c r="A120">
        <v>72017</v>
      </c>
      <c r="B120" s="7" t="s">
        <v>165</v>
      </c>
      <c r="C120">
        <v>803</v>
      </c>
      <c r="D120">
        <v>43</v>
      </c>
      <c r="E120">
        <v>121</v>
      </c>
      <c r="F120">
        <v>5</v>
      </c>
      <c r="G120">
        <v>15</v>
      </c>
      <c r="H120" s="7" t="s">
        <v>29</v>
      </c>
      <c r="I120" s="7">
        <v>41.6</v>
      </c>
      <c r="J120" s="7">
        <v>23</v>
      </c>
      <c r="N120" s="7" t="s">
        <v>188</v>
      </c>
    </row>
    <row r="121" spans="1:15" x14ac:dyDescent="0.2">
      <c r="A121">
        <v>72017</v>
      </c>
      <c r="B121" s="7" t="s">
        <v>165</v>
      </c>
      <c r="C121">
        <v>803</v>
      </c>
      <c r="D121">
        <v>43</v>
      </c>
      <c r="E121">
        <v>121</v>
      </c>
      <c r="F121">
        <v>6</v>
      </c>
      <c r="G121">
        <v>13</v>
      </c>
      <c r="H121" s="7" t="s">
        <v>29</v>
      </c>
      <c r="I121" s="7">
        <v>41.31</v>
      </c>
      <c r="J121" s="7">
        <v>26</v>
      </c>
      <c r="N121" s="7" t="s">
        <v>188</v>
      </c>
    </row>
    <row r="122" spans="1:15" x14ac:dyDescent="0.2">
      <c r="A122">
        <v>72017</v>
      </c>
      <c r="B122" s="7" t="s">
        <v>165</v>
      </c>
      <c r="C122">
        <v>803</v>
      </c>
      <c r="D122">
        <v>43</v>
      </c>
      <c r="E122">
        <v>121</v>
      </c>
      <c r="F122">
        <v>7</v>
      </c>
      <c r="G122">
        <v>15</v>
      </c>
      <c r="H122" s="7" t="s">
        <v>29</v>
      </c>
      <c r="I122" s="7">
        <v>40.17</v>
      </c>
      <c r="J122" s="7">
        <v>34</v>
      </c>
      <c r="N122" s="7" t="s">
        <v>188</v>
      </c>
    </row>
    <row r="123" spans="1:15" x14ac:dyDescent="0.2">
      <c r="A123">
        <v>72017</v>
      </c>
      <c r="B123" s="7" t="s">
        <v>165</v>
      </c>
      <c r="C123">
        <v>803</v>
      </c>
      <c r="D123">
        <v>43</v>
      </c>
      <c r="E123">
        <v>121</v>
      </c>
      <c r="F123">
        <v>8</v>
      </c>
      <c r="G123">
        <v>14</v>
      </c>
      <c r="H123" s="7" t="s">
        <v>29</v>
      </c>
      <c r="I123" s="7">
        <v>46.74</v>
      </c>
      <c r="J123" s="7">
        <v>6</v>
      </c>
      <c r="N123" s="7" t="s">
        <v>188</v>
      </c>
    </row>
    <row r="124" spans="1:15" x14ac:dyDescent="0.2">
      <c r="A124">
        <v>72017</v>
      </c>
      <c r="B124" s="7" t="s">
        <v>165</v>
      </c>
      <c r="C124">
        <v>803</v>
      </c>
      <c r="D124">
        <v>43</v>
      </c>
      <c r="E124">
        <v>121</v>
      </c>
      <c r="F124">
        <v>9</v>
      </c>
      <c r="G124">
        <v>15</v>
      </c>
      <c r="H124" s="7" t="s">
        <v>29</v>
      </c>
      <c r="I124" s="7">
        <v>48.17</v>
      </c>
      <c r="J124" s="7">
        <v>3</v>
      </c>
      <c r="N124" s="7" t="s">
        <v>188</v>
      </c>
    </row>
    <row r="125" spans="1:15" x14ac:dyDescent="0.2">
      <c r="A125">
        <v>72017</v>
      </c>
      <c r="B125" s="7" t="s">
        <v>165</v>
      </c>
      <c r="C125">
        <v>803</v>
      </c>
      <c r="D125">
        <v>43</v>
      </c>
      <c r="E125">
        <v>121</v>
      </c>
      <c r="F125">
        <v>10</v>
      </c>
      <c r="G125">
        <v>11</v>
      </c>
      <c r="H125" s="7" t="s">
        <v>29</v>
      </c>
      <c r="I125" s="7" t="s">
        <v>26</v>
      </c>
      <c r="J125" s="7" t="s">
        <v>26</v>
      </c>
      <c r="N125" s="7" t="s">
        <v>188</v>
      </c>
      <c r="O125" s="7" t="s">
        <v>198</v>
      </c>
    </row>
    <row r="126" spans="1:15" x14ac:dyDescent="0.2">
      <c r="A126">
        <v>72217</v>
      </c>
      <c r="B126" s="7" t="s">
        <v>226</v>
      </c>
      <c r="C126">
        <v>919</v>
      </c>
      <c r="D126">
        <v>33</v>
      </c>
      <c r="E126">
        <v>205</v>
      </c>
      <c r="F126">
        <v>1</v>
      </c>
      <c r="G126">
        <v>11</v>
      </c>
      <c r="H126" s="7" t="s">
        <v>29</v>
      </c>
      <c r="I126" s="7">
        <v>40.06</v>
      </c>
      <c r="J126" s="7">
        <v>21</v>
      </c>
      <c r="N126" s="7" t="s">
        <v>188</v>
      </c>
    </row>
    <row r="127" spans="1:15" x14ac:dyDescent="0.2">
      <c r="A127">
        <v>72217</v>
      </c>
      <c r="B127" s="7" t="s">
        <v>226</v>
      </c>
      <c r="C127">
        <v>919</v>
      </c>
      <c r="D127">
        <v>33</v>
      </c>
      <c r="E127">
        <v>205</v>
      </c>
      <c r="F127">
        <v>2</v>
      </c>
      <c r="G127">
        <v>10</v>
      </c>
      <c r="H127" s="7" t="s">
        <v>29</v>
      </c>
      <c r="I127" s="7">
        <v>42.17</v>
      </c>
      <c r="J127" s="7">
        <v>9</v>
      </c>
      <c r="N127" s="7" t="s">
        <v>188</v>
      </c>
    </row>
    <row r="128" spans="1:15" x14ac:dyDescent="0.2">
      <c r="A128">
        <v>72217</v>
      </c>
      <c r="B128" s="7" t="s">
        <v>226</v>
      </c>
      <c r="C128">
        <v>919</v>
      </c>
      <c r="D128">
        <v>33</v>
      </c>
      <c r="E128">
        <v>205</v>
      </c>
      <c r="F128">
        <v>3</v>
      </c>
      <c r="G128">
        <v>14</v>
      </c>
      <c r="H128" s="7" t="s">
        <v>29</v>
      </c>
      <c r="I128" s="7">
        <v>41.34</v>
      </c>
      <c r="J128" s="7">
        <v>24</v>
      </c>
      <c r="N128" s="7" t="s">
        <v>188</v>
      </c>
    </row>
    <row r="129" spans="1:15" x14ac:dyDescent="0.2">
      <c r="A129">
        <v>72217</v>
      </c>
      <c r="B129" s="7" t="s">
        <v>226</v>
      </c>
      <c r="C129">
        <v>919</v>
      </c>
      <c r="D129">
        <v>33</v>
      </c>
      <c r="E129">
        <v>205</v>
      </c>
      <c r="F129">
        <v>4</v>
      </c>
      <c r="G129">
        <v>11</v>
      </c>
      <c r="H129" s="7" t="s">
        <v>29</v>
      </c>
      <c r="I129" s="7">
        <v>40.83</v>
      </c>
      <c r="J129" s="7">
        <v>14</v>
      </c>
      <c r="N129" s="7" t="s">
        <v>188</v>
      </c>
    </row>
    <row r="130" spans="1:15" x14ac:dyDescent="0.2">
      <c r="A130">
        <v>72217</v>
      </c>
      <c r="B130" s="7" t="s">
        <v>226</v>
      </c>
      <c r="C130">
        <v>919</v>
      </c>
      <c r="D130">
        <v>33</v>
      </c>
      <c r="E130">
        <v>205</v>
      </c>
      <c r="F130">
        <v>5</v>
      </c>
      <c r="G130">
        <v>10</v>
      </c>
      <c r="H130" s="7" t="s">
        <v>29</v>
      </c>
      <c r="I130" s="7">
        <v>41</v>
      </c>
      <c r="J130" s="7">
        <v>18</v>
      </c>
      <c r="N130" s="7" t="s">
        <v>188</v>
      </c>
      <c r="O130" s="7" t="s">
        <v>234</v>
      </c>
    </row>
    <row r="131" spans="1:15" x14ac:dyDescent="0.2">
      <c r="A131">
        <v>72217</v>
      </c>
      <c r="B131" s="7" t="s">
        <v>226</v>
      </c>
      <c r="C131">
        <v>919</v>
      </c>
      <c r="D131">
        <v>33</v>
      </c>
      <c r="E131">
        <v>205</v>
      </c>
      <c r="F131">
        <v>6</v>
      </c>
      <c r="G131">
        <v>12</v>
      </c>
      <c r="H131" s="7" t="s">
        <v>29</v>
      </c>
      <c r="I131" s="7">
        <v>42.34</v>
      </c>
      <c r="J131" s="7">
        <v>13</v>
      </c>
      <c r="N131" s="7" t="s">
        <v>188</v>
      </c>
    </row>
    <row r="132" spans="1:15" x14ac:dyDescent="0.2">
      <c r="A132">
        <v>72217</v>
      </c>
      <c r="B132" s="7" t="s">
        <v>226</v>
      </c>
      <c r="C132">
        <v>919</v>
      </c>
      <c r="D132">
        <v>33</v>
      </c>
      <c r="E132">
        <v>205</v>
      </c>
      <c r="F132">
        <v>7</v>
      </c>
      <c r="G132">
        <v>17</v>
      </c>
      <c r="H132" s="7" t="s">
        <v>29</v>
      </c>
      <c r="I132" s="7">
        <v>41.61</v>
      </c>
      <c r="J132" s="7">
        <v>19</v>
      </c>
      <c r="N132" s="7" t="s">
        <v>188</v>
      </c>
    </row>
    <row r="133" spans="1:15" x14ac:dyDescent="0.2">
      <c r="A133">
        <v>72217</v>
      </c>
      <c r="B133" s="7" t="s">
        <v>226</v>
      </c>
      <c r="C133">
        <v>919</v>
      </c>
      <c r="D133">
        <v>33</v>
      </c>
      <c r="E133">
        <v>205</v>
      </c>
      <c r="F133">
        <v>8</v>
      </c>
      <c r="G133">
        <v>13</v>
      </c>
      <c r="H133" s="7" t="s">
        <v>29</v>
      </c>
      <c r="I133" s="7">
        <v>40.520000000000003</v>
      </c>
      <c r="J133" s="7">
        <v>19</v>
      </c>
      <c r="N133" s="7" t="s">
        <v>188</v>
      </c>
    </row>
    <row r="134" spans="1:15" x14ac:dyDescent="0.2">
      <c r="A134">
        <v>72217</v>
      </c>
      <c r="B134" s="7" t="s">
        <v>226</v>
      </c>
      <c r="C134">
        <v>919</v>
      </c>
      <c r="D134">
        <v>33</v>
      </c>
      <c r="E134">
        <v>205</v>
      </c>
      <c r="F134">
        <v>9</v>
      </c>
      <c r="G134">
        <v>12</v>
      </c>
      <c r="H134" s="7" t="s">
        <v>29</v>
      </c>
      <c r="I134" s="7">
        <v>40.71</v>
      </c>
      <c r="J134" s="7">
        <v>26</v>
      </c>
      <c r="N134" s="7" t="s">
        <v>188</v>
      </c>
    </row>
    <row r="135" spans="1:15" x14ac:dyDescent="0.2">
      <c r="A135">
        <v>72217</v>
      </c>
      <c r="B135" s="7" t="s">
        <v>226</v>
      </c>
      <c r="C135">
        <v>919</v>
      </c>
      <c r="D135">
        <v>33</v>
      </c>
      <c r="E135">
        <v>205</v>
      </c>
      <c r="F135">
        <v>10</v>
      </c>
      <c r="G135">
        <v>9</v>
      </c>
      <c r="H135" s="7" t="s">
        <v>29</v>
      </c>
      <c r="I135" s="7">
        <v>41.25</v>
      </c>
      <c r="J135" s="7">
        <v>7</v>
      </c>
      <c r="N135" s="7" t="s">
        <v>188</v>
      </c>
      <c r="O135" s="7" t="s">
        <v>234</v>
      </c>
    </row>
    <row r="136" spans="1:15" x14ac:dyDescent="0.2">
      <c r="A136">
        <v>72217</v>
      </c>
      <c r="B136" s="7" t="s">
        <v>227</v>
      </c>
      <c r="C136">
        <v>1300</v>
      </c>
      <c r="D136">
        <v>40</v>
      </c>
      <c r="E136">
        <v>940</v>
      </c>
      <c r="F136">
        <v>1</v>
      </c>
      <c r="G136">
        <v>20</v>
      </c>
      <c r="H136">
        <f>0.4*G136</f>
        <v>8</v>
      </c>
      <c r="I136" s="7">
        <v>39.99</v>
      </c>
      <c r="J136" s="7">
        <v>53</v>
      </c>
      <c r="N136" s="7" t="s">
        <v>188</v>
      </c>
    </row>
    <row r="137" spans="1:15" x14ac:dyDescent="0.2">
      <c r="A137">
        <v>72217</v>
      </c>
      <c r="B137" s="7" t="s">
        <v>227</v>
      </c>
      <c r="C137">
        <v>1300</v>
      </c>
      <c r="D137">
        <v>40</v>
      </c>
      <c r="E137">
        <v>940</v>
      </c>
      <c r="F137">
        <v>2</v>
      </c>
      <c r="G137">
        <v>34</v>
      </c>
      <c r="H137">
        <f t="shared" ref="H137:H155" si="1">0.4*G137</f>
        <v>13.600000000000001</v>
      </c>
      <c r="I137" s="7">
        <v>40.24</v>
      </c>
      <c r="J137" s="7">
        <v>51</v>
      </c>
      <c r="N137" s="7" t="s">
        <v>188</v>
      </c>
    </row>
    <row r="138" spans="1:15" x14ac:dyDescent="0.2">
      <c r="A138">
        <v>72217</v>
      </c>
      <c r="B138" s="7" t="s">
        <v>227</v>
      </c>
      <c r="C138">
        <v>1300</v>
      </c>
      <c r="D138">
        <v>40</v>
      </c>
      <c r="E138">
        <v>940</v>
      </c>
      <c r="F138">
        <v>3</v>
      </c>
      <c r="G138">
        <v>34</v>
      </c>
      <c r="H138">
        <f t="shared" si="1"/>
        <v>13.600000000000001</v>
      </c>
      <c r="I138" s="7">
        <v>41.04</v>
      </c>
      <c r="J138" s="7">
        <v>22</v>
      </c>
      <c r="N138" s="7" t="s">
        <v>188</v>
      </c>
    </row>
    <row r="139" spans="1:15" x14ac:dyDescent="0.2">
      <c r="A139">
        <v>72217</v>
      </c>
      <c r="B139" s="7" t="s">
        <v>227</v>
      </c>
      <c r="C139">
        <v>1300</v>
      </c>
      <c r="D139">
        <v>40</v>
      </c>
      <c r="E139">
        <v>940</v>
      </c>
      <c r="F139">
        <v>4</v>
      </c>
      <c r="G139">
        <v>17</v>
      </c>
      <c r="H139" s="7" t="s">
        <v>29</v>
      </c>
      <c r="I139" s="7">
        <v>40.630000000000003</v>
      </c>
      <c r="J139" s="7">
        <v>17</v>
      </c>
      <c r="N139" s="7" t="s">
        <v>188</v>
      </c>
      <c r="O139" s="7" t="s">
        <v>236</v>
      </c>
    </row>
    <row r="140" spans="1:15" x14ac:dyDescent="0.2">
      <c r="A140">
        <v>72217</v>
      </c>
      <c r="B140" s="7" t="s">
        <v>227</v>
      </c>
      <c r="C140">
        <v>1300</v>
      </c>
      <c r="D140">
        <v>40</v>
      </c>
      <c r="E140">
        <v>940</v>
      </c>
      <c r="F140">
        <v>5</v>
      </c>
      <c r="G140">
        <v>27</v>
      </c>
      <c r="H140">
        <f t="shared" si="1"/>
        <v>10.8</v>
      </c>
      <c r="I140" s="7">
        <v>40.380000000000003</v>
      </c>
      <c r="J140" s="7">
        <v>39</v>
      </c>
      <c r="N140" s="7" t="s">
        <v>188</v>
      </c>
      <c r="O140" s="7" t="s">
        <v>235</v>
      </c>
    </row>
    <row r="141" spans="1:15" x14ac:dyDescent="0.2">
      <c r="A141">
        <v>72217</v>
      </c>
      <c r="B141" s="7" t="s">
        <v>227</v>
      </c>
      <c r="C141">
        <v>1300</v>
      </c>
      <c r="D141">
        <v>40</v>
      </c>
      <c r="E141">
        <v>940</v>
      </c>
      <c r="F141">
        <v>6</v>
      </c>
      <c r="G141">
        <v>30</v>
      </c>
      <c r="H141">
        <f t="shared" si="1"/>
        <v>12</v>
      </c>
      <c r="I141" s="7">
        <v>40.67</v>
      </c>
      <c r="J141" s="7">
        <v>34</v>
      </c>
      <c r="N141" s="7" t="s">
        <v>188</v>
      </c>
      <c r="O141" s="7" t="s">
        <v>235</v>
      </c>
    </row>
    <row r="142" spans="1:15" x14ac:dyDescent="0.2">
      <c r="A142">
        <v>72217</v>
      </c>
      <c r="B142" s="7" t="s">
        <v>227</v>
      </c>
      <c r="C142">
        <v>1300</v>
      </c>
      <c r="D142">
        <v>40</v>
      </c>
      <c r="E142">
        <v>940</v>
      </c>
      <c r="F142">
        <v>7</v>
      </c>
      <c r="G142">
        <v>28</v>
      </c>
      <c r="H142">
        <f t="shared" si="1"/>
        <v>11.200000000000001</v>
      </c>
      <c r="I142" s="7">
        <v>40.28</v>
      </c>
      <c r="J142" s="7">
        <v>60</v>
      </c>
      <c r="N142" s="7" t="s">
        <v>188</v>
      </c>
      <c r="O142" s="7" t="s">
        <v>235</v>
      </c>
    </row>
    <row r="143" spans="1:15" x14ac:dyDescent="0.2">
      <c r="A143">
        <v>72217</v>
      </c>
      <c r="B143" s="7" t="s">
        <v>227</v>
      </c>
      <c r="C143">
        <v>1300</v>
      </c>
      <c r="D143">
        <v>40</v>
      </c>
      <c r="E143">
        <v>940</v>
      </c>
      <c r="F143">
        <v>8</v>
      </c>
      <c r="G143">
        <v>17</v>
      </c>
      <c r="H143" s="7" t="s">
        <v>29</v>
      </c>
      <c r="I143" s="7">
        <v>40.51</v>
      </c>
      <c r="J143" s="7">
        <v>47</v>
      </c>
      <c r="N143" s="7" t="s">
        <v>188</v>
      </c>
    </row>
    <row r="144" spans="1:15" x14ac:dyDescent="0.2">
      <c r="A144">
        <v>72217</v>
      </c>
      <c r="B144" s="7" t="s">
        <v>227</v>
      </c>
      <c r="C144">
        <v>1300</v>
      </c>
      <c r="D144">
        <v>40</v>
      </c>
      <c r="E144">
        <v>940</v>
      </c>
      <c r="F144">
        <v>9</v>
      </c>
      <c r="G144">
        <v>25</v>
      </c>
      <c r="H144">
        <f t="shared" si="1"/>
        <v>10</v>
      </c>
      <c r="I144" s="7">
        <v>40.04</v>
      </c>
      <c r="J144" s="7">
        <v>53</v>
      </c>
      <c r="N144" s="7" t="s">
        <v>188</v>
      </c>
    </row>
    <row r="145" spans="1:15" x14ac:dyDescent="0.2">
      <c r="A145">
        <v>72217</v>
      </c>
      <c r="B145" s="7" t="s">
        <v>227</v>
      </c>
      <c r="C145">
        <v>1300</v>
      </c>
      <c r="D145">
        <v>40</v>
      </c>
      <c r="E145">
        <v>940</v>
      </c>
      <c r="F145">
        <v>10</v>
      </c>
      <c r="G145">
        <v>31</v>
      </c>
      <c r="H145">
        <f t="shared" si="1"/>
        <v>12.4</v>
      </c>
      <c r="I145" s="7">
        <v>40.340000000000003</v>
      </c>
      <c r="J145" s="7">
        <v>39</v>
      </c>
      <c r="N145" s="7" t="s">
        <v>188</v>
      </c>
    </row>
    <row r="146" spans="1:15" x14ac:dyDescent="0.2">
      <c r="A146">
        <v>72217</v>
      </c>
      <c r="B146" s="7" t="s">
        <v>228</v>
      </c>
      <c r="C146">
        <v>580</v>
      </c>
      <c r="D146">
        <v>61</v>
      </c>
      <c r="E146">
        <v>133</v>
      </c>
      <c r="F146">
        <v>1</v>
      </c>
      <c r="G146">
        <v>13</v>
      </c>
      <c r="H146" s="7" t="s">
        <v>29</v>
      </c>
      <c r="I146" s="7">
        <v>41.64</v>
      </c>
      <c r="J146" s="7">
        <v>18</v>
      </c>
      <c r="N146" s="7" t="s">
        <v>188</v>
      </c>
      <c r="O146" s="7" t="s">
        <v>237</v>
      </c>
    </row>
    <row r="147" spans="1:15" x14ac:dyDescent="0.2">
      <c r="A147">
        <v>72217</v>
      </c>
      <c r="B147" s="7" t="s">
        <v>228</v>
      </c>
      <c r="C147">
        <v>580</v>
      </c>
      <c r="D147">
        <v>61</v>
      </c>
      <c r="E147">
        <v>133</v>
      </c>
      <c r="F147">
        <v>2</v>
      </c>
      <c r="G147">
        <v>17</v>
      </c>
      <c r="H147" s="7" t="s">
        <v>29</v>
      </c>
      <c r="I147" s="7">
        <v>42.76</v>
      </c>
      <c r="J147" s="7">
        <v>12</v>
      </c>
      <c r="N147" s="7" t="s">
        <v>188</v>
      </c>
    </row>
    <row r="148" spans="1:15" x14ac:dyDescent="0.2">
      <c r="A148">
        <v>72217</v>
      </c>
      <c r="B148" s="7" t="s">
        <v>228</v>
      </c>
      <c r="C148">
        <v>580</v>
      </c>
      <c r="D148">
        <v>61</v>
      </c>
      <c r="E148">
        <v>133</v>
      </c>
      <c r="F148">
        <v>3</v>
      </c>
      <c r="G148">
        <v>17</v>
      </c>
      <c r="H148" s="7" t="s">
        <v>29</v>
      </c>
      <c r="I148" s="7">
        <v>44.45</v>
      </c>
      <c r="J148" s="7">
        <v>17</v>
      </c>
      <c r="N148" s="7" t="s">
        <v>188</v>
      </c>
    </row>
    <row r="149" spans="1:15" x14ac:dyDescent="0.2">
      <c r="A149">
        <v>72217</v>
      </c>
      <c r="B149" s="7" t="s">
        <v>228</v>
      </c>
      <c r="C149">
        <v>580</v>
      </c>
      <c r="D149">
        <v>61</v>
      </c>
      <c r="E149">
        <v>133</v>
      </c>
      <c r="F149">
        <v>4</v>
      </c>
      <c r="G149">
        <v>18</v>
      </c>
      <c r="H149" s="7" t="s">
        <v>29</v>
      </c>
      <c r="I149" s="7">
        <v>40.49</v>
      </c>
      <c r="J149" s="7">
        <v>34</v>
      </c>
      <c r="N149" s="7" t="s">
        <v>188</v>
      </c>
    </row>
    <row r="150" spans="1:15" x14ac:dyDescent="0.2">
      <c r="A150">
        <v>72217</v>
      </c>
      <c r="B150" s="7" t="s">
        <v>228</v>
      </c>
      <c r="C150">
        <v>580</v>
      </c>
      <c r="D150">
        <v>61</v>
      </c>
      <c r="E150">
        <v>133</v>
      </c>
      <c r="F150">
        <v>5</v>
      </c>
      <c r="G150">
        <v>25</v>
      </c>
      <c r="H150">
        <f t="shared" si="1"/>
        <v>10</v>
      </c>
      <c r="I150" s="7">
        <v>41.38</v>
      </c>
      <c r="J150" s="7">
        <v>29</v>
      </c>
      <c r="N150" s="7" t="s">
        <v>188</v>
      </c>
    </row>
    <row r="151" spans="1:15" x14ac:dyDescent="0.2">
      <c r="A151">
        <v>72217</v>
      </c>
      <c r="B151" s="7" t="s">
        <v>228</v>
      </c>
      <c r="C151">
        <v>580</v>
      </c>
      <c r="D151">
        <v>61</v>
      </c>
      <c r="E151">
        <v>133</v>
      </c>
      <c r="F151">
        <v>6</v>
      </c>
      <c r="G151">
        <v>21</v>
      </c>
      <c r="H151">
        <f t="shared" si="1"/>
        <v>8.4</v>
      </c>
      <c r="I151" s="7">
        <v>40.659999999999997</v>
      </c>
      <c r="J151" s="7">
        <v>34</v>
      </c>
      <c r="N151" s="7" t="s">
        <v>188</v>
      </c>
    </row>
    <row r="152" spans="1:15" x14ac:dyDescent="0.2">
      <c r="A152">
        <v>72217</v>
      </c>
      <c r="B152" s="7" t="s">
        <v>228</v>
      </c>
      <c r="C152">
        <v>580</v>
      </c>
      <c r="D152">
        <v>61</v>
      </c>
      <c r="E152">
        <v>133</v>
      </c>
      <c r="F152">
        <v>7</v>
      </c>
      <c r="G152">
        <v>30</v>
      </c>
      <c r="H152">
        <f t="shared" si="1"/>
        <v>12</v>
      </c>
      <c r="I152" s="7">
        <v>40.659999999999997</v>
      </c>
      <c r="J152" s="7">
        <v>58</v>
      </c>
      <c r="N152" s="7" t="s">
        <v>188</v>
      </c>
    </row>
    <row r="153" spans="1:15" x14ac:dyDescent="0.2">
      <c r="A153">
        <v>72217</v>
      </c>
      <c r="B153" s="7" t="s">
        <v>228</v>
      </c>
      <c r="C153">
        <v>580</v>
      </c>
      <c r="D153">
        <v>61</v>
      </c>
      <c r="E153">
        <v>133</v>
      </c>
      <c r="F153">
        <v>8</v>
      </c>
      <c r="G153">
        <v>34</v>
      </c>
      <c r="H153">
        <f t="shared" si="1"/>
        <v>13.600000000000001</v>
      </c>
      <c r="I153" s="7">
        <v>40.24</v>
      </c>
      <c r="J153" s="7">
        <v>70</v>
      </c>
      <c r="N153" s="7" t="s">
        <v>188</v>
      </c>
    </row>
    <row r="154" spans="1:15" x14ac:dyDescent="0.2">
      <c r="A154">
        <v>72217</v>
      </c>
      <c r="B154" s="7" t="s">
        <v>228</v>
      </c>
      <c r="C154">
        <v>580</v>
      </c>
      <c r="D154">
        <v>61</v>
      </c>
      <c r="E154">
        <v>133</v>
      </c>
      <c r="F154">
        <v>9</v>
      </c>
      <c r="G154">
        <v>21</v>
      </c>
      <c r="H154">
        <f t="shared" si="1"/>
        <v>8.4</v>
      </c>
      <c r="I154" s="7">
        <v>40.049999999999997</v>
      </c>
      <c r="J154" s="7">
        <v>49</v>
      </c>
      <c r="N154" s="7" t="s">
        <v>188</v>
      </c>
    </row>
    <row r="155" spans="1:15" x14ac:dyDescent="0.2">
      <c r="A155">
        <v>72217</v>
      </c>
      <c r="B155" s="7" t="s">
        <v>228</v>
      </c>
      <c r="C155">
        <v>580</v>
      </c>
      <c r="D155">
        <v>61</v>
      </c>
      <c r="E155">
        <v>133</v>
      </c>
      <c r="F155">
        <v>10</v>
      </c>
      <c r="G155">
        <v>28</v>
      </c>
      <c r="H155">
        <f t="shared" si="1"/>
        <v>11.200000000000001</v>
      </c>
      <c r="I155" s="7">
        <v>40.82</v>
      </c>
      <c r="J155" s="7">
        <v>14</v>
      </c>
      <c r="N155" s="7" t="s">
        <v>188</v>
      </c>
    </row>
    <row r="156" spans="1:15" x14ac:dyDescent="0.2">
      <c r="A156">
        <v>72217</v>
      </c>
      <c r="B156" s="7" t="s">
        <v>229</v>
      </c>
      <c r="C156">
        <v>470</v>
      </c>
      <c r="D156">
        <v>73</v>
      </c>
      <c r="E156">
        <v>122</v>
      </c>
      <c r="F156">
        <v>1</v>
      </c>
      <c r="G156">
        <v>13</v>
      </c>
      <c r="H156" s="7" t="s">
        <v>29</v>
      </c>
      <c r="I156" s="7">
        <v>40.29</v>
      </c>
      <c r="J156" s="7">
        <v>37</v>
      </c>
      <c r="N156" s="7" t="s">
        <v>188</v>
      </c>
    </row>
    <row r="157" spans="1:15" x14ac:dyDescent="0.2">
      <c r="A157">
        <v>72217</v>
      </c>
      <c r="B157" s="7" t="s">
        <v>229</v>
      </c>
      <c r="C157">
        <v>470</v>
      </c>
      <c r="D157">
        <v>73</v>
      </c>
      <c r="E157">
        <v>122</v>
      </c>
      <c r="F157">
        <v>2</v>
      </c>
      <c r="G157">
        <v>13</v>
      </c>
      <c r="H157" s="7" t="s">
        <v>29</v>
      </c>
      <c r="I157" s="7">
        <v>40.270000000000003</v>
      </c>
      <c r="J157" s="7">
        <v>38</v>
      </c>
      <c r="N157" s="7" t="s">
        <v>188</v>
      </c>
    </row>
    <row r="158" spans="1:15" x14ac:dyDescent="0.2">
      <c r="A158">
        <v>72217</v>
      </c>
      <c r="B158" s="7" t="s">
        <v>229</v>
      </c>
      <c r="C158">
        <v>470</v>
      </c>
      <c r="D158">
        <v>73</v>
      </c>
      <c r="E158">
        <v>122</v>
      </c>
      <c r="F158">
        <v>3</v>
      </c>
      <c r="G158">
        <v>16</v>
      </c>
      <c r="H158" s="7" t="s">
        <v>29</v>
      </c>
      <c r="I158" s="7">
        <v>40.07</v>
      </c>
      <c r="J158" s="7">
        <v>37</v>
      </c>
      <c r="N158" s="7" t="s">
        <v>188</v>
      </c>
    </row>
    <row r="159" spans="1:15" x14ac:dyDescent="0.2">
      <c r="A159">
        <v>72217</v>
      </c>
      <c r="B159" s="7" t="s">
        <v>229</v>
      </c>
      <c r="C159">
        <v>470</v>
      </c>
      <c r="D159">
        <v>73</v>
      </c>
      <c r="E159">
        <v>122</v>
      </c>
      <c r="F159">
        <v>4</v>
      </c>
      <c r="G159">
        <v>15</v>
      </c>
      <c r="H159" s="7" t="s">
        <v>29</v>
      </c>
      <c r="I159" s="7">
        <v>41.32</v>
      </c>
      <c r="J159" s="7">
        <v>26</v>
      </c>
      <c r="N159" s="7" t="s">
        <v>188</v>
      </c>
    </row>
    <row r="160" spans="1:15" x14ac:dyDescent="0.2">
      <c r="A160">
        <v>72217</v>
      </c>
      <c r="B160" s="7" t="s">
        <v>229</v>
      </c>
      <c r="C160">
        <v>470</v>
      </c>
      <c r="D160">
        <v>73</v>
      </c>
      <c r="E160">
        <v>122</v>
      </c>
      <c r="F160">
        <v>5</v>
      </c>
      <c r="G160">
        <v>14</v>
      </c>
      <c r="H160" s="7" t="s">
        <v>29</v>
      </c>
      <c r="I160" s="7">
        <v>40.04</v>
      </c>
      <c r="J160" s="7">
        <v>34</v>
      </c>
      <c r="N160" s="7" t="s">
        <v>188</v>
      </c>
    </row>
    <row r="161" spans="1:15" x14ac:dyDescent="0.2">
      <c r="A161">
        <v>72217</v>
      </c>
      <c r="B161" s="7" t="s">
        <v>229</v>
      </c>
      <c r="C161">
        <v>470</v>
      </c>
      <c r="D161">
        <v>73</v>
      </c>
      <c r="E161">
        <v>122</v>
      </c>
      <c r="F161">
        <v>6</v>
      </c>
      <c r="G161">
        <v>13</v>
      </c>
      <c r="H161" s="7" t="s">
        <v>29</v>
      </c>
      <c r="I161" s="7">
        <v>40.07</v>
      </c>
      <c r="J161" s="7">
        <v>39</v>
      </c>
      <c r="N161" s="7" t="s">
        <v>188</v>
      </c>
    </row>
    <row r="162" spans="1:15" x14ac:dyDescent="0.2">
      <c r="A162">
        <v>72217</v>
      </c>
      <c r="B162" s="7" t="s">
        <v>229</v>
      </c>
      <c r="C162">
        <v>470</v>
      </c>
      <c r="D162">
        <v>73</v>
      </c>
      <c r="E162">
        <v>122</v>
      </c>
      <c r="F162">
        <v>7</v>
      </c>
      <c r="G162">
        <v>15</v>
      </c>
      <c r="H162" s="7" t="s">
        <v>29</v>
      </c>
      <c r="I162" s="7">
        <v>40.07</v>
      </c>
      <c r="J162" s="7">
        <v>33</v>
      </c>
      <c r="N162" s="7" t="s">
        <v>188</v>
      </c>
    </row>
    <row r="163" spans="1:15" x14ac:dyDescent="0.2">
      <c r="A163">
        <v>72217</v>
      </c>
      <c r="B163" s="7" t="s">
        <v>229</v>
      </c>
      <c r="C163">
        <v>470</v>
      </c>
      <c r="D163">
        <v>73</v>
      </c>
      <c r="E163">
        <v>122</v>
      </c>
      <c r="F163">
        <v>8</v>
      </c>
      <c r="G163">
        <v>11</v>
      </c>
      <c r="H163" s="7" t="s">
        <v>29</v>
      </c>
      <c r="I163" s="7">
        <v>41.36</v>
      </c>
      <c r="J163" s="7">
        <v>17</v>
      </c>
      <c r="N163" s="7" t="s">
        <v>188</v>
      </c>
    </row>
    <row r="164" spans="1:15" x14ac:dyDescent="0.2">
      <c r="A164">
        <v>72217</v>
      </c>
      <c r="B164" s="7" t="s">
        <v>229</v>
      </c>
      <c r="C164">
        <v>470</v>
      </c>
      <c r="D164">
        <v>73</v>
      </c>
      <c r="E164">
        <v>122</v>
      </c>
      <c r="F164">
        <v>9</v>
      </c>
      <c r="G164">
        <v>12</v>
      </c>
      <c r="H164" s="7" t="s">
        <v>29</v>
      </c>
      <c r="I164" s="7">
        <v>42.08</v>
      </c>
      <c r="J164" s="7">
        <v>13</v>
      </c>
      <c r="N164" s="7" t="s">
        <v>188</v>
      </c>
    </row>
    <row r="165" spans="1:15" x14ac:dyDescent="0.2">
      <c r="A165">
        <v>72217</v>
      </c>
      <c r="B165" s="7" t="s">
        <v>229</v>
      </c>
      <c r="C165">
        <v>470</v>
      </c>
      <c r="D165">
        <v>73</v>
      </c>
      <c r="E165">
        <v>122</v>
      </c>
      <c r="F165">
        <v>10</v>
      </c>
      <c r="G165">
        <v>9</v>
      </c>
      <c r="H165" s="7" t="s">
        <v>29</v>
      </c>
      <c r="I165" s="7">
        <v>42.47</v>
      </c>
      <c r="J165" s="7">
        <v>14</v>
      </c>
      <c r="N165" s="7" t="s">
        <v>188</v>
      </c>
      <c r="O165" s="7" t="s">
        <v>238</v>
      </c>
    </row>
    <row r="166" spans="1:15" x14ac:dyDescent="0.2">
      <c r="A166">
        <v>72217</v>
      </c>
      <c r="B166" s="7" t="s">
        <v>230</v>
      </c>
      <c r="C166">
        <v>1560</v>
      </c>
      <c r="D166">
        <v>83</v>
      </c>
      <c r="E166">
        <v>488</v>
      </c>
      <c r="F166">
        <v>1</v>
      </c>
      <c r="G166">
        <v>17</v>
      </c>
      <c r="H166" s="7" t="s">
        <v>29</v>
      </c>
      <c r="I166" s="7">
        <v>41.03</v>
      </c>
      <c r="J166" s="7">
        <v>16</v>
      </c>
      <c r="N166" s="7" t="s">
        <v>188</v>
      </c>
    </row>
    <row r="167" spans="1:15" x14ac:dyDescent="0.2">
      <c r="A167">
        <v>72217</v>
      </c>
      <c r="B167" s="7" t="s">
        <v>230</v>
      </c>
      <c r="C167">
        <v>1560</v>
      </c>
      <c r="D167">
        <v>83</v>
      </c>
      <c r="E167">
        <v>488</v>
      </c>
      <c r="F167">
        <v>2</v>
      </c>
      <c r="G167">
        <v>14</v>
      </c>
      <c r="H167" s="7" t="s">
        <v>29</v>
      </c>
      <c r="I167" s="7">
        <v>41.16</v>
      </c>
      <c r="J167" s="7">
        <v>20</v>
      </c>
      <c r="N167" s="7" t="s">
        <v>188</v>
      </c>
    </row>
    <row r="168" spans="1:15" x14ac:dyDescent="0.2">
      <c r="A168">
        <v>72217</v>
      </c>
      <c r="B168" s="7" t="s">
        <v>230</v>
      </c>
      <c r="C168">
        <v>1560</v>
      </c>
      <c r="D168">
        <v>83</v>
      </c>
      <c r="E168">
        <v>488</v>
      </c>
      <c r="F168">
        <v>3</v>
      </c>
      <c r="G168">
        <v>13</v>
      </c>
      <c r="H168" s="7" t="s">
        <v>29</v>
      </c>
      <c r="I168" s="7">
        <v>41.11</v>
      </c>
      <c r="J168" s="7">
        <v>16</v>
      </c>
      <c r="N168" s="7" t="s">
        <v>188</v>
      </c>
    </row>
    <row r="169" spans="1:15" x14ac:dyDescent="0.2">
      <c r="A169">
        <v>72217</v>
      </c>
      <c r="B169" s="7" t="s">
        <v>230</v>
      </c>
      <c r="C169">
        <v>1560</v>
      </c>
      <c r="D169">
        <v>83</v>
      </c>
      <c r="E169">
        <v>488</v>
      </c>
      <c r="F169">
        <v>4</v>
      </c>
      <c r="G169">
        <v>17</v>
      </c>
      <c r="H169" s="7" t="s">
        <v>29</v>
      </c>
      <c r="I169" s="7">
        <v>40.590000000000003</v>
      </c>
      <c r="J169" s="7">
        <v>26</v>
      </c>
      <c r="N169" s="7" t="s">
        <v>188</v>
      </c>
    </row>
    <row r="170" spans="1:15" x14ac:dyDescent="0.2">
      <c r="A170">
        <v>72217</v>
      </c>
      <c r="B170" s="7" t="s">
        <v>230</v>
      </c>
      <c r="C170">
        <v>1560</v>
      </c>
      <c r="D170">
        <v>83</v>
      </c>
      <c r="E170">
        <v>488</v>
      </c>
      <c r="F170">
        <v>5</v>
      </c>
      <c r="G170">
        <v>12</v>
      </c>
      <c r="H170" s="7" t="s">
        <v>29</v>
      </c>
      <c r="I170" s="7">
        <v>41.51</v>
      </c>
      <c r="J170" s="7">
        <v>29</v>
      </c>
      <c r="N170" s="7" t="s">
        <v>188</v>
      </c>
    </row>
    <row r="171" spans="1:15" x14ac:dyDescent="0.2">
      <c r="A171">
        <v>72217</v>
      </c>
      <c r="B171" s="7" t="s">
        <v>230</v>
      </c>
      <c r="C171">
        <v>1560</v>
      </c>
      <c r="D171">
        <v>83</v>
      </c>
      <c r="E171">
        <v>488</v>
      </c>
      <c r="F171">
        <v>6</v>
      </c>
      <c r="G171">
        <v>16</v>
      </c>
      <c r="H171" s="7" t="s">
        <v>29</v>
      </c>
      <c r="I171" s="7">
        <v>40.6</v>
      </c>
      <c r="J171" s="7">
        <v>33</v>
      </c>
      <c r="N171" s="7" t="s">
        <v>188</v>
      </c>
    </row>
    <row r="172" spans="1:15" x14ac:dyDescent="0.2">
      <c r="A172">
        <v>72217</v>
      </c>
      <c r="B172" s="7" t="s">
        <v>230</v>
      </c>
      <c r="C172">
        <v>1560</v>
      </c>
      <c r="D172">
        <v>83</v>
      </c>
      <c r="E172">
        <v>488</v>
      </c>
      <c r="F172">
        <v>7</v>
      </c>
      <c r="G172">
        <v>17</v>
      </c>
      <c r="H172" s="7" t="s">
        <v>29</v>
      </c>
      <c r="I172" s="7">
        <v>40.08</v>
      </c>
      <c r="J172" s="7">
        <v>41</v>
      </c>
      <c r="N172" s="7" t="s">
        <v>188</v>
      </c>
    </row>
    <row r="173" spans="1:15" x14ac:dyDescent="0.2">
      <c r="A173">
        <v>72217</v>
      </c>
      <c r="B173" s="7" t="s">
        <v>230</v>
      </c>
      <c r="C173">
        <v>1560</v>
      </c>
      <c r="D173">
        <v>83</v>
      </c>
      <c r="E173">
        <v>488</v>
      </c>
      <c r="F173">
        <v>8</v>
      </c>
      <c r="G173">
        <v>14</v>
      </c>
      <c r="H173" s="7" t="s">
        <v>29</v>
      </c>
      <c r="I173" s="7">
        <v>40.56</v>
      </c>
      <c r="J173" s="7">
        <v>44</v>
      </c>
      <c r="N173" s="7" t="s">
        <v>188</v>
      </c>
    </row>
    <row r="174" spans="1:15" x14ac:dyDescent="0.2">
      <c r="A174">
        <v>72217</v>
      </c>
      <c r="B174" s="7" t="s">
        <v>230</v>
      </c>
      <c r="C174">
        <v>1560</v>
      </c>
      <c r="D174">
        <v>83</v>
      </c>
      <c r="E174">
        <v>488</v>
      </c>
      <c r="F174">
        <v>9</v>
      </c>
      <c r="G174">
        <v>12</v>
      </c>
      <c r="H174" s="7" t="s">
        <v>29</v>
      </c>
      <c r="I174" s="7">
        <v>40.450000000000003</v>
      </c>
      <c r="J174" s="7">
        <v>52</v>
      </c>
      <c r="N174" s="7" t="s">
        <v>188</v>
      </c>
    </row>
    <row r="175" spans="1:15" x14ac:dyDescent="0.2">
      <c r="A175">
        <v>72217</v>
      </c>
      <c r="B175" s="7" t="s">
        <v>230</v>
      </c>
      <c r="C175">
        <v>1560</v>
      </c>
      <c r="D175">
        <v>83</v>
      </c>
      <c r="E175">
        <v>488</v>
      </c>
      <c r="F175">
        <v>10</v>
      </c>
      <c r="G175">
        <v>9</v>
      </c>
      <c r="H175" s="7" t="s">
        <v>29</v>
      </c>
      <c r="I175" s="7">
        <v>40.909999999999997</v>
      </c>
      <c r="J175" s="7">
        <v>20</v>
      </c>
      <c r="N175" s="7" t="s">
        <v>188</v>
      </c>
    </row>
    <row r="176" spans="1:15" x14ac:dyDescent="0.2">
      <c r="A176">
        <v>72217</v>
      </c>
      <c r="B176" s="7" t="s">
        <v>231</v>
      </c>
      <c r="C176">
        <v>1073</v>
      </c>
      <c r="D176">
        <v>88</v>
      </c>
      <c r="E176">
        <v>238</v>
      </c>
      <c r="F176">
        <v>1</v>
      </c>
      <c r="G176">
        <v>16</v>
      </c>
      <c r="H176" s="7" t="s">
        <v>29</v>
      </c>
      <c r="I176" s="7">
        <v>40.380000000000003</v>
      </c>
      <c r="J176" s="7">
        <v>14</v>
      </c>
      <c r="N176" s="7" t="s">
        <v>188</v>
      </c>
    </row>
    <row r="177" spans="1:15" x14ac:dyDescent="0.2">
      <c r="A177">
        <v>72217</v>
      </c>
      <c r="B177" s="7" t="s">
        <v>231</v>
      </c>
      <c r="C177">
        <v>1073</v>
      </c>
      <c r="D177">
        <v>88</v>
      </c>
      <c r="E177">
        <v>238</v>
      </c>
      <c r="F177">
        <v>2</v>
      </c>
      <c r="G177">
        <v>18</v>
      </c>
      <c r="H177" s="7" t="s">
        <v>29</v>
      </c>
      <c r="I177" s="7">
        <v>40.68</v>
      </c>
      <c r="J177" s="7">
        <v>22</v>
      </c>
      <c r="N177" s="7" t="s">
        <v>188</v>
      </c>
    </row>
    <row r="178" spans="1:15" x14ac:dyDescent="0.2">
      <c r="A178">
        <v>72217</v>
      </c>
      <c r="B178" s="7" t="s">
        <v>231</v>
      </c>
      <c r="C178">
        <v>1073</v>
      </c>
      <c r="D178">
        <v>88</v>
      </c>
      <c r="E178">
        <v>238</v>
      </c>
      <c r="F178">
        <v>3</v>
      </c>
      <c r="G178">
        <v>17</v>
      </c>
      <c r="H178" s="7" t="s">
        <v>29</v>
      </c>
      <c r="I178" s="7">
        <v>41.24</v>
      </c>
      <c r="J178" s="7">
        <v>26</v>
      </c>
      <c r="N178" s="7" t="s">
        <v>188</v>
      </c>
    </row>
    <row r="179" spans="1:15" x14ac:dyDescent="0.2">
      <c r="A179">
        <v>72217</v>
      </c>
      <c r="B179" s="7" t="s">
        <v>231</v>
      </c>
      <c r="C179">
        <v>1073</v>
      </c>
      <c r="D179">
        <v>88</v>
      </c>
      <c r="E179">
        <v>238</v>
      </c>
      <c r="F179">
        <v>4</v>
      </c>
      <c r="G179">
        <v>21</v>
      </c>
      <c r="H179" s="7">
        <v>8.4</v>
      </c>
      <c r="I179" s="7">
        <v>40.93</v>
      </c>
      <c r="J179" s="7">
        <v>31</v>
      </c>
      <c r="N179" s="7" t="s">
        <v>188</v>
      </c>
    </row>
    <row r="180" spans="1:15" x14ac:dyDescent="0.2">
      <c r="A180">
        <v>72217</v>
      </c>
      <c r="B180" s="7" t="s">
        <v>231</v>
      </c>
      <c r="C180">
        <v>1073</v>
      </c>
      <c r="D180">
        <v>88</v>
      </c>
      <c r="E180">
        <v>238</v>
      </c>
      <c r="F180">
        <v>5</v>
      </c>
      <c r="G180">
        <v>17</v>
      </c>
      <c r="H180" s="7" t="s">
        <v>29</v>
      </c>
      <c r="I180" s="7">
        <v>40.83</v>
      </c>
      <c r="J180" s="7">
        <v>23</v>
      </c>
      <c r="N180" s="7" t="s">
        <v>188</v>
      </c>
      <c r="O180" s="7" t="s">
        <v>239</v>
      </c>
    </row>
    <row r="181" spans="1:15" x14ac:dyDescent="0.2">
      <c r="A181">
        <v>72217</v>
      </c>
      <c r="B181" s="7" t="s">
        <v>231</v>
      </c>
      <c r="C181">
        <v>1073</v>
      </c>
      <c r="D181">
        <v>88</v>
      </c>
      <c r="E181">
        <v>238</v>
      </c>
      <c r="F181">
        <v>6</v>
      </c>
      <c r="G181">
        <v>22</v>
      </c>
      <c r="H181" s="7">
        <v>8.8000000000000007</v>
      </c>
      <c r="I181" s="7">
        <v>41.08</v>
      </c>
      <c r="J181" s="7">
        <v>21</v>
      </c>
      <c r="N181" s="7" t="s">
        <v>188</v>
      </c>
    </row>
    <row r="182" spans="1:15" x14ac:dyDescent="0.2">
      <c r="A182">
        <v>72217</v>
      </c>
      <c r="B182" s="7" t="s">
        <v>231</v>
      </c>
      <c r="C182">
        <v>1073</v>
      </c>
      <c r="D182">
        <v>88</v>
      </c>
      <c r="E182">
        <v>238</v>
      </c>
      <c r="F182">
        <v>7</v>
      </c>
      <c r="G182">
        <v>24</v>
      </c>
      <c r="H182" s="7">
        <v>9.1999999999999993</v>
      </c>
      <c r="I182" s="7">
        <v>41.41</v>
      </c>
      <c r="J182" s="7">
        <v>21</v>
      </c>
      <c r="N182" s="7" t="s">
        <v>188</v>
      </c>
    </row>
    <row r="183" spans="1:15" x14ac:dyDescent="0.2">
      <c r="A183">
        <v>72217</v>
      </c>
      <c r="B183" s="7" t="s">
        <v>231</v>
      </c>
      <c r="C183">
        <v>1073</v>
      </c>
      <c r="D183">
        <v>88</v>
      </c>
      <c r="E183">
        <v>238</v>
      </c>
      <c r="F183">
        <v>8</v>
      </c>
      <c r="G183">
        <v>21</v>
      </c>
      <c r="H183" s="7">
        <v>8.4</v>
      </c>
      <c r="I183" s="7">
        <v>40.130000000000003</v>
      </c>
      <c r="J183" s="7">
        <v>31</v>
      </c>
      <c r="N183" s="7" t="s">
        <v>188</v>
      </c>
    </row>
    <row r="184" spans="1:15" x14ac:dyDescent="0.2">
      <c r="A184">
        <v>72217</v>
      </c>
      <c r="B184" s="7" t="s">
        <v>231</v>
      </c>
      <c r="C184">
        <v>1073</v>
      </c>
      <c r="D184">
        <v>88</v>
      </c>
      <c r="E184">
        <v>238</v>
      </c>
      <c r="F184">
        <v>9</v>
      </c>
      <c r="G184">
        <v>17</v>
      </c>
      <c r="H184" s="7" t="s">
        <v>29</v>
      </c>
      <c r="I184" s="7">
        <v>41.13</v>
      </c>
      <c r="J184" s="7">
        <v>20</v>
      </c>
      <c r="N184" s="7" t="s">
        <v>188</v>
      </c>
    </row>
    <row r="185" spans="1:15" x14ac:dyDescent="0.2">
      <c r="A185">
        <v>72217</v>
      </c>
      <c r="B185" s="7" t="s">
        <v>231</v>
      </c>
      <c r="C185">
        <v>1073</v>
      </c>
      <c r="D185">
        <v>88</v>
      </c>
      <c r="E185">
        <v>238</v>
      </c>
      <c r="F185">
        <v>10</v>
      </c>
      <c r="G185">
        <v>15</v>
      </c>
      <c r="H185" s="7" t="s">
        <v>29</v>
      </c>
      <c r="I185" s="7">
        <v>40.83</v>
      </c>
      <c r="J185" s="7">
        <v>18</v>
      </c>
      <c r="N185" s="7" t="s">
        <v>188</v>
      </c>
    </row>
    <row r="186" spans="1:15" x14ac:dyDescent="0.2">
      <c r="A186">
        <v>72217</v>
      </c>
      <c r="B186" s="7" t="s">
        <v>232</v>
      </c>
      <c r="C186">
        <v>2085</v>
      </c>
      <c r="D186">
        <v>93</v>
      </c>
      <c r="E186">
        <v>124</v>
      </c>
      <c r="F186">
        <v>1</v>
      </c>
      <c r="G186">
        <v>9</v>
      </c>
      <c r="H186" s="7" t="s">
        <v>29</v>
      </c>
      <c r="I186" s="7">
        <v>41.65</v>
      </c>
      <c r="J186" s="7">
        <v>12</v>
      </c>
      <c r="N186" s="7" t="s">
        <v>188</v>
      </c>
      <c r="O186" s="7" t="s">
        <v>240</v>
      </c>
    </row>
    <row r="187" spans="1:15" x14ac:dyDescent="0.2">
      <c r="A187">
        <v>72217</v>
      </c>
      <c r="B187" s="7" t="s">
        <v>232</v>
      </c>
      <c r="C187">
        <v>2085</v>
      </c>
      <c r="D187">
        <v>93</v>
      </c>
      <c r="E187">
        <v>124</v>
      </c>
      <c r="F187">
        <v>2</v>
      </c>
      <c r="G187">
        <v>10</v>
      </c>
      <c r="H187" s="7" t="s">
        <v>29</v>
      </c>
      <c r="I187" s="7">
        <v>41.31</v>
      </c>
      <c r="J187" s="7">
        <v>29</v>
      </c>
      <c r="N187" s="7" t="s">
        <v>188</v>
      </c>
      <c r="O187" s="7" t="s">
        <v>240</v>
      </c>
    </row>
    <row r="188" spans="1:15" x14ac:dyDescent="0.2">
      <c r="A188">
        <v>72217</v>
      </c>
      <c r="B188" s="7" t="s">
        <v>232</v>
      </c>
      <c r="C188">
        <v>2085</v>
      </c>
      <c r="D188">
        <v>93</v>
      </c>
      <c r="E188">
        <v>124</v>
      </c>
      <c r="F188">
        <v>3</v>
      </c>
      <c r="G188">
        <v>11</v>
      </c>
      <c r="H188" s="7" t="s">
        <v>29</v>
      </c>
      <c r="I188" s="7">
        <v>44.71</v>
      </c>
      <c r="J188" s="7">
        <v>11</v>
      </c>
      <c r="N188" s="7" t="s">
        <v>188</v>
      </c>
    </row>
    <row r="189" spans="1:15" x14ac:dyDescent="0.2">
      <c r="A189">
        <v>72217</v>
      </c>
      <c r="B189" s="7" t="s">
        <v>232</v>
      </c>
      <c r="C189">
        <v>2085</v>
      </c>
      <c r="D189">
        <v>93</v>
      </c>
      <c r="E189">
        <v>124</v>
      </c>
      <c r="F189">
        <v>4</v>
      </c>
      <c r="G189">
        <v>10</v>
      </c>
      <c r="H189" s="7" t="s">
        <v>29</v>
      </c>
      <c r="I189" s="7">
        <v>39.97</v>
      </c>
      <c r="J189" s="7">
        <v>15</v>
      </c>
      <c r="N189" s="7" t="s">
        <v>188</v>
      </c>
    </row>
    <row r="190" spans="1:15" x14ac:dyDescent="0.2">
      <c r="A190">
        <v>72217</v>
      </c>
      <c r="B190" s="7" t="s">
        <v>232</v>
      </c>
      <c r="C190">
        <v>2085</v>
      </c>
      <c r="D190">
        <v>93</v>
      </c>
      <c r="E190">
        <v>124</v>
      </c>
      <c r="F190">
        <v>5</v>
      </c>
      <c r="G190">
        <v>12</v>
      </c>
      <c r="H190" s="7" t="s">
        <v>29</v>
      </c>
      <c r="I190" s="7">
        <v>41.52</v>
      </c>
      <c r="J190" s="7">
        <v>22</v>
      </c>
      <c r="N190" s="7" t="s">
        <v>188</v>
      </c>
    </row>
    <row r="191" spans="1:15" x14ac:dyDescent="0.2">
      <c r="A191">
        <v>72217</v>
      </c>
      <c r="B191" s="7" t="s">
        <v>232</v>
      </c>
      <c r="C191">
        <v>2085</v>
      </c>
      <c r="D191">
        <v>93</v>
      </c>
      <c r="E191">
        <v>124</v>
      </c>
      <c r="F191">
        <v>6</v>
      </c>
      <c r="G191">
        <v>15</v>
      </c>
      <c r="H191" s="7" t="s">
        <v>29</v>
      </c>
      <c r="I191" s="7">
        <v>40.47</v>
      </c>
      <c r="J191" s="7">
        <v>39</v>
      </c>
      <c r="N191" s="7" t="s">
        <v>188</v>
      </c>
    </row>
    <row r="192" spans="1:15" x14ac:dyDescent="0.2">
      <c r="A192">
        <v>72217</v>
      </c>
      <c r="B192" s="7" t="s">
        <v>232</v>
      </c>
      <c r="C192">
        <v>2085</v>
      </c>
      <c r="D192">
        <v>93</v>
      </c>
      <c r="E192">
        <v>124</v>
      </c>
      <c r="F192">
        <v>7</v>
      </c>
      <c r="G192">
        <v>16</v>
      </c>
      <c r="H192" s="7" t="s">
        <v>29</v>
      </c>
      <c r="I192" s="7">
        <v>40.1</v>
      </c>
      <c r="J192" s="7">
        <v>41</v>
      </c>
      <c r="N192" s="7" t="s">
        <v>188</v>
      </c>
    </row>
    <row r="193" spans="1:15" x14ac:dyDescent="0.2">
      <c r="A193">
        <v>72217</v>
      </c>
      <c r="B193" s="7" t="s">
        <v>232</v>
      </c>
      <c r="C193">
        <v>2085</v>
      </c>
      <c r="D193">
        <v>93</v>
      </c>
      <c r="E193">
        <v>124</v>
      </c>
      <c r="F193">
        <v>8</v>
      </c>
      <c r="G193">
        <v>14</v>
      </c>
      <c r="H193" s="7" t="s">
        <v>29</v>
      </c>
      <c r="I193" s="7">
        <v>40.61</v>
      </c>
      <c r="J193" s="7">
        <v>13</v>
      </c>
      <c r="N193" s="7" t="s">
        <v>188</v>
      </c>
    </row>
    <row r="194" spans="1:15" x14ac:dyDescent="0.2">
      <c r="A194">
        <v>72217</v>
      </c>
      <c r="B194" s="7" t="s">
        <v>232</v>
      </c>
      <c r="C194">
        <v>2085</v>
      </c>
      <c r="D194">
        <v>93</v>
      </c>
      <c r="E194">
        <v>124</v>
      </c>
      <c r="F194">
        <v>9</v>
      </c>
      <c r="G194">
        <v>13</v>
      </c>
      <c r="H194" s="7" t="s">
        <v>29</v>
      </c>
      <c r="I194" s="7">
        <v>40.46</v>
      </c>
      <c r="J194" s="7">
        <v>38</v>
      </c>
      <c r="N194" s="7" t="s">
        <v>188</v>
      </c>
    </row>
    <row r="195" spans="1:15" x14ac:dyDescent="0.2">
      <c r="A195">
        <v>72217</v>
      </c>
      <c r="B195" s="7" t="s">
        <v>232</v>
      </c>
      <c r="C195">
        <v>2085</v>
      </c>
      <c r="D195">
        <v>93</v>
      </c>
      <c r="E195">
        <v>124</v>
      </c>
      <c r="F195">
        <v>10</v>
      </c>
      <c r="G195">
        <v>10</v>
      </c>
      <c r="H195" s="7" t="s">
        <v>29</v>
      </c>
      <c r="I195" s="7">
        <v>40.46</v>
      </c>
      <c r="J195" s="7">
        <v>31</v>
      </c>
      <c r="N195" s="7" t="s">
        <v>188</v>
      </c>
      <c r="O195" s="7" t="s">
        <v>290</v>
      </c>
    </row>
    <row r="196" spans="1:15" x14ac:dyDescent="0.2">
      <c r="A196">
        <v>72917</v>
      </c>
      <c r="B196" s="7" t="s">
        <v>280</v>
      </c>
      <c r="C196">
        <v>580</v>
      </c>
      <c r="D196">
        <v>146</v>
      </c>
      <c r="E196">
        <v>364</v>
      </c>
      <c r="F196">
        <v>1</v>
      </c>
      <c r="G196">
        <v>11</v>
      </c>
      <c r="H196" s="7" t="s">
        <v>29</v>
      </c>
      <c r="I196" s="7">
        <v>41.82</v>
      </c>
      <c r="J196" s="7">
        <v>5</v>
      </c>
      <c r="N196" s="7" t="s">
        <v>188</v>
      </c>
    </row>
    <row r="197" spans="1:15" x14ac:dyDescent="0.2">
      <c r="A197">
        <v>72917</v>
      </c>
      <c r="B197" s="7" t="s">
        <v>280</v>
      </c>
      <c r="C197">
        <v>580</v>
      </c>
      <c r="D197">
        <v>146</v>
      </c>
      <c r="E197">
        <v>364</v>
      </c>
      <c r="F197">
        <v>2</v>
      </c>
      <c r="G197">
        <v>17</v>
      </c>
      <c r="H197" s="7" t="s">
        <v>29</v>
      </c>
      <c r="I197" s="7">
        <v>42.01</v>
      </c>
      <c r="J197" s="7">
        <v>12</v>
      </c>
      <c r="N197" s="7" t="s">
        <v>188</v>
      </c>
    </row>
    <row r="198" spans="1:15" x14ac:dyDescent="0.2">
      <c r="A198">
        <v>72917</v>
      </c>
      <c r="B198" s="7" t="s">
        <v>280</v>
      </c>
      <c r="C198">
        <v>580</v>
      </c>
      <c r="D198">
        <v>146</v>
      </c>
      <c r="E198">
        <v>364</v>
      </c>
      <c r="F198">
        <v>3</v>
      </c>
      <c r="G198">
        <v>17</v>
      </c>
      <c r="H198" s="7" t="s">
        <v>29</v>
      </c>
      <c r="I198" s="7">
        <v>41.2</v>
      </c>
      <c r="J198" s="7">
        <v>31</v>
      </c>
      <c r="N198" s="7" t="s">
        <v>188</v>
      </c>
    </row>
    <row r="199" spans="1:15" x14ac:dyDescent="0.2">
      <c r="A199">
        <v>72917</v>
      </c>
      <c r="B199" s="7" t="s">
        <v>280</v>
      </c>
      <c r="C199">
        <v>580</v>
      </c>
      <c r="D199">
        <v>146</v>
      </c>
      <c r="E199">
        <v>364</v>
      </c>
      <c r="F199">
        <v>4</v>
      </c>
      <c r="G199">
        <v>18</v>
      </c>
      <c r="H199" s="7">
        <v>7.2</v>
      </c>
      <c r="I199" s="7">
        <v>41.21</v>
      </c>
      <c r="J199" s="7">
        <v>22</v>
      </c>
      <c r="N199" s="7" t="s">
        <v>188</v>
      </c>
    </row>
    <row r="200" spans="1:15" x14ac:dyDescent="0.2">
      <c r="A200">
        <v>72917</v>
      </c>
      <c r="B200" s="7" t="s">
        <v>280</v>
      </c>
      <c r="C200">
        <v>580</v>
      </c>
      <c r="D200">
        <v>146</v>
      </c>
      <c r="E200">
        <v>364</v>
      </c>
      <c r="F200">
        <v>5</v>
      </c>
      <c r="G200">
        <v>19</v>
      </c>
      <c r="H200" s="7">
        <v>7.6</v>
      </c>
      <c r="I200" s="7">
        <v>40.880000000000003</v>
      </c>
      <c r="J200" s="7">
        <v>42</v>
      </c>
      <c r="N200" s="7" t="s">
        <v>188</v>
      </c>
    </row>
    <row r="201" spans="1:15" x14ac:dyDescent="0.2">
      <c r="A201">
        <v>72917</v>
      </c>
      <c r="B201" s="7" t="s">
        <v>280</v>
      </c>
      <c r="C201">
        <v>580</v>
      </c>
      <c r="D201">
        <v>146</v>
      </c>
      <c r="E201">
        <v>364</v>
      </c>
      <c r="F201">
        <v>6</v>
      </c>
      <c r="G201">
        <v>17</v>
      </c>
      <c r="H201" s="7" t="s">
        <v>29</v>
      </c>
      <c r="I201" s="7">
        <v>41.13</v>
      </c>
      <c r="J201" s="7">
        <v>26</v>
      </c>
      <c r="N201" s="7" t="s">
        <v>188</v>
      </c>
    </row>
    <row r="202" spans="1:15" x14ac:dyDescent="0.2">
      <c r="A202">
        <v>72917</v>
      </c>
      <c r="B202" s="7" t="s">
        <v>280</v>
      </c>
      <c r="C202">
        <v>580</v>
      </c>
      <c r="D202">
        <v>146</v>
      </c>
      <c r="E202">
        <v>364</v>
      </c>
      <c r="F202">
        <v>7</v>
      </c>
      <c r="G202">
        <v>16</v>
      </c>
      <c r="H202" s="7" t="s">
        <v>29</v>
      </c>
      <c r="I202" s="7">
        <v>41.34</v>
      </c>
      <c r="J202" s="7">
        <v>18</v>
      </c>
      <c r="N202" s="7" t="s">
        <v>188</v>
      </c>
    </row>
    <row r="203" spans="1:15" x14ac:dyDescent="0.2">
      <c r="A203">
        <v>72917</v>
      </c>
      <c r="B203" s="7" t="s">
        <v>280</v>
      </c>
      <c r="C203">
        <v>580</v>
      </c>
      <c r="D203">
        <v>146</v>
      </c>
      <c r="E203">
        <v>364</v>
      </c>
      <c r="F203">
        <v>8</v>
      </c>
      <c r="G203">
        <v>17</v>
      </c>
      <c r="H203" s="7" t="s">
        <v>29</v>
      </c>
      <c r="I203" s="7">
        <v>40.130000000000003</v>
      </c>
      <c r="J203" s="7">
        <v>33</v>
      </c>
      <c r="N203" s="7" t="s">
        <v>188</v>
      </c>
      <c r="O203" s="7" t="s">
        <v>291</v>
      </c>
    </row>
    <row r="204" spans="1:15" x14ac:dyDescent="0.2">
      <c r="A204">
        <v>72917</v>
      </c>
      <c r="B204" s="7" t="s">
        <v>280</v>
      </c>
      <c r="C204">
        <v>580</v>
      </c>
      <c r="D204">
        <v>146</v>
      </c>
      <c r="E204">
        <v>364</v>
      </c>
      <c r="F204">
        <v>9</v>
      </c>
      <c r="G204">
        <v>19</v>
      </c>
      <c r="H204" s="7">
        <v>7.6</v>
      </c>
      <c r="I204" s="7">
        <v>40.020000000000003</v>
      </c>
      <c r="J204" s="7">
        <v>29</v>
      </c>
      <c r="N204" s="7" t="s">
        <v>188</v>
      </c>
    </row>
    <row r="205" spans="1:15" x14ac:dyDescent="0.2">
      <c r="A205">
        <v>72917</v>
      </c>
      <c r="B205" s="7" t="s">
        <v>280</v>
      </c>
      <c r="C205">
        <v>580</v>
      </c>
      <c r="D205">
        <v>146</v>
      </c>
      <c r="E205">
        <v>364</v>
      </c>
      <c r="F205">
        <v>10</v>
      </c>
      <c r="G205">
        <v>26</v>
      </c>
      <c r="H205" s="7">
        <v>10.4</v>
      </c>
      <c r="I205" s="7">
        <v>40.96</v>
      </c>
      <c r="J205" s="7">
        <v>36</v>
      </c>
      <c r="N205" s="7" t="s">
        <v>188</v>
      </c>
    </row>
    <row r="206" spans="1:15" x14ac:dyDescent="0.2">
      <c r="A206">
        <v>72917</v>
      </c>
      <c r="B206" s="7" t="s">
        <v>281</v>
      </c>
      <c r="C206">
        <v>630</v>
      </c>
      <c r="D206">
        <v>135</v>
      </c>
      <c r="E206">
        <v>250</v>
      </c>
      <c r="F206">
        <v>1</v>
      </c>
      <c r="G206">
        <v>11</v>
      </c>
      <c r="H206" s="7" t="s">
        <v>29</v>
      </c>
      <c r="I206" s="7">
        <v>43.67</v>
      </c>
      <c r="J206" s="7">
        <v>12</v>
      </c>
      <c r="N206" s="7" t="s">
        <v>188</v>
      </c>
    </row>
    <row r="207" spans="1:15" x14ac:dyDescent="0.2">
      <c r="A207">
        <v>72917</v>
      </c>
      <c r="B207" s="7" t="s">
        <v>281</v>
      </c>
      <c r="C207">
        <v>630</v>
      </c>
      <c r="D207">
        <v>135</v>
      </c>
      <c r="E207">
        <v>250</v>
      </c>
      <c r="F207">
        <v>2</v>
      </c>
      <c r="G207">
        <v>15</v>
      </c>
      <c r="H207" s="7" t="s">
        <v>29</v>
      </c>
      <c r="I207" s="7">
        <v>41.62</v>
      </c>
      <c r="J207" s="7">
        <v>14</v>
      </c>
      <c r="N207" s="7" t="s">
        <v>188</v>
      </c>
    </row>
    <row r="208" spans="1:15" x14ac:dyDescent="0.2">
      <c r="A208">
        <v>72917</v>
      </c>
      <c r="B208" s="7" t="s">
        <v>281</v>
      </c>
      <c r="C208">
        <v>630</v>
      </c>
      <c r="D208">
        <v>135</v>
      </c>
      <c r="E208">
        <v>250</v>
      </c>
      <c r="F208">
        <v>3</v>
      </c>
      <c r="G208">
        <v>15</v>
      </c>
      <c r="H208" s="7" t="s">
        <v>29</v>
      </c>
      <c r="I208" s="7">
        <v>40.9</v>
      </c>
      <c r="J208" s="7">
        <v>22</v>
      </c>
      <c r="N208" s="7" t="s">
        <v>188</v>
      </c>
    </row>
    <row r="209" spans="1:15" x14ac:dyDescent="0.2">
      <c r="A209">
        <v>72917</v>
      </c>
      <c r="B209" s="7" t="s">
        <v>281</v>
      </c>
      <c r="C209">
        <v>630</v>
      </c>
      <c r="D209">
        <v>135</v>
      </c>
      <c r="E209">
        <v>250</v>
      </c>
      <c r="F209">
        <v>4</v>
      </c>
      <c r="G209">
        <v>20</v>
      </c>
      <c r="H209" s="7">
        <v>8</v>
      </c>
      <c r="I209" s="7">
        <v>40.93</v>
      </c>
      <c r="J209" s="7">
        <v>37</v>
      </c>
      <c r="N209" s="7" t="s">
        <v>188</v>
      </c>
    </row>
    <row r="210" spans="1:15" x14ac:dyDescent="0.2">
      <c r="A210">
        <v>72917</v>
      </c>
      <c r="B210" s="7" t="s">
        <v>281</v>
      </c>
      <c r="C210">
        <v>630</v>
      </c>
      <c r="D210">
        <v>135</v>
      </c>
      <c r="E210">
        <v>250</v>
      </c>
      <c r="F210">
        <v>5</v>
      </c>
      <c r="G210">
        <v>22</v>
      </c>
      <c r="H210" s="7">
        <v>8.8000000000000007</v>
      </c>
      <c r="I210" s="7">
        <v>40.28</v>
      </c>
      <c r="J210" s="7">
        <v>32</v>
      </c>
      <c r="N210" s="7" t="s">
        <v>188</v>
      </c>
    </row>
    <row r="211" spans="1:15" x14ac:dyDescent="0.2">
      <c r="A211">
        <v>72917</v>
      </c>
      <c r="B211" s="7" t="s">
        <v>281</v>
      </c>
      <c r="C211">
        <v>630</v>
      </c>
      <c r="D211">
        <v>135</v>
      </c>
      <c r="E211">
        <v>250</v>
      </c>
      <c r="F211">
        <v>6</v>
      </c>
      <c r="G211">
        <v>16</v>
      </c>
      <c r="H211" s="7" t="s">
        <v>29</v>
      </c>
      <c r="I211" s="7">
        <v>41.75</v>
      </c>
      <c r="J211" s="7">
        <v>7</v>
      </c>
      <c r="N211" s="7" t="s">
        <v>188</v>
      </c>
      <c r="O211" s="7" t="s">
        <v>292</v>
      </c>
    </row>
    <row r="212" spans="1:15" x14ac:dyDescent="0.2">
      <c r="A212">
        <v>72917</v>
      </c>
      <c r="B212" s="7" t="s">
        <v>281</v>
      </c>
      <c r="C212">
        <v>630</v>
      </c>
      <c r="D212">
        <v>135</v>
      </c>
      <c r="E212">
        <v>250</v>
      </c>
      <c r="F212">
        <v>7</v>
      </c>
      <c r="G212">
        <v>15</v>
      </c>
      <c r="H212" s="7" t="s">
        <v>29</v>
      </c>
      <c r="I212" s="7">
        <v>40.119999999999997</v>
      </c>
      <c r="J212" s="7">
        <v>21</v>
      </c>
      <c r="N212" s="7" t="s">
        <v>188</v>
      </c>
    </row>
    <row r="213" spans="1:15" x14ac:dyDescent="0.2">
      <c r="A213">
        <v>72917</v>
      </c>
      <c r="B213" s="7" t="s">
        <v>281</v>
      </c>
      <c r="C213">
        <v>630</v>
      </c>
      <c r="D213">
        <v>135</v>
      </c>
      <c r="E213">
        <v>250</v>
      </c>
      <c r="F213">
        <v>8</v>
      </c>
      <c r="G213">
        <v>15</v>
      </c>
      <c r="H213" s="7" t="s">
        <v>29</v>
      </c>
      <c r="I213" s="7">
        <v>40.83</v>
      </c>
      <c r="J213" s="7">
        <v>25</v>
      </c>
      <c r="N213" s="7" t="s">
        <v>188</v>
      </c>
    </row>
    <row r="214" spans="1:15" x14ac:dyDescent="0.2">
      <c r="A214">
        <v>72917</v>
      </c>
      <c r="B214" s="7" t="s">
        <v>281</v>
      </c>
      <c r="C214">
        <v>630</v>
      </c>
      <c r="D214">
        <v>135</v>
      </c>
      <c r="E214">
        <v>250</v>
      </c>
      <c r="F214">
        <v>9</v>
      </c>
      <c r="G214">
        <v>17</v>
      </c>
      <c r="H214" s="7" t="s">
        <v>29</v>
      </c>
      <c r="I214" s="7">
        <v>58.95</v>
      </c>
      <c r="J214" s="7">
        <v>4</v>
      </c>
      <c r="N214" s="7" t="s">
        <v>188</v>
      </c>
      <c r="O214" s="7" t="s">
        <v>293</v>
      </c>
    </row>
    <row r="215" spans="1:15" x14ac:dyDescent="0.2">
      <c r="A215">
        <v>72917</v>
      </c>
      <c r="B215" s="7" t="s">
        <v>281</v>
      </c>
      <c r="C215">
        <v>630</v>
      </c>
      <c r="D215">
        <v>135</v>
      </c>
      <c r="E215">
        <v>250</v>
      </c>
      <c r="F215">
        <v>10</v>
      </c>
      <c r="G215">
        <v>11</v>
      </c>
      <c r="H215" s="7" t="s">
        <v>29</v>
      </c>
      <c r="I215" s="7">
        <v>44.19</v>
      </c>
      <c r="J215" s="7">
        <v>10</v>
      </c>
      <c r="N215" s="7" t="s">
        <v>188</v>
      </c>
    </row>
    <row r="216" spans="1:15" x14ac:dyDescent="0.2">
      <c r="A216">
        <v>73017</v>
      </c>
      <c r="B216" s="7" t="s">
        <v>282</v>
      </c>
      <c r="C216">
        <v>1960</v>
      </c>
      <c r="D216">
        <v>36</v>
      </c>
      <c r="E216">
        <v>70</v>
      </c>
      <c r="F216">
        <v>1</v>
      </c>
      <c r="G216">
        <v>3</v>
      </c>
      <c r="H216" s="7" t="s">
        <v>26</v>
      </c>
      <c r="I216" s="7" t="s">
        <v>26</v>
      </c>
      <c r="J216" s="7">
        <v>7.82</v>
      </c>
      <c r="K216" s="7">
        <v>7.71</v>
      </c>
      <c r="L216" s="7">
        <v>7.02</v>
      </c>
      <c r="M216" s="7">
        <v>200</v>
      </c>
      <c r="N216" s="7" t="s">
        <v>189</v>
      </c>
      <c r="O216" s="7" t="s">
        <v>294</v>
      </c>
    </row>
    <row r="217" spans="1:15" x14ac:dyDescent="0.2">
      <c r="A217">
        <v>73017</v>
      </c>
      <c r="B217" s="7" t="s">
        <v>282</v>
      </c>
      <c r="C217">
        <v>1960</v>
      </c>
      <c r="D217">
        <v>36</v>
      </c>
      <c r="E217">
        <v>70</v>
      </c>
      <c r="F217">
        <v>2</v>
      </c>
      <c r="G217">
        <v>5</v>
      </c>
      <c r="H217" s="7" t="s">
        <v>26</v>
      </c>
      <c r="I217" s="7" t="s">
        <v>26</v>
      </c>
      <c r="J217" s="7">
        <v>3.91</v>
      </c>
      <c r="K217" s="7">
        <v>4.6399999999999997</v>
      </c>
      <c r="L217" s="7">
        <v>3.88</v>
      </c>
      <c r="M217" s="7">
        <v>200</v>
      </c>
      <c r="N217" s="7" t="s">
        <v>189</v>
      </c>
    </row>
    <row r="218" spans="1:15" x14ac:dyDescent="0.2">
      <c r="A218">
        <v>73017</v>
      </c>
      <c r="B218" s="7" t="s">
        <v>282</v>
      </c>
      <c r="C218">
        <v>1960</v>
      </c>
      <c r="D218">
        <v>36</v>
      </c>
      <c r="E218">
        <v>70</v>
      </c>
      <c r="F218">
        <v>3</v>
      </c>
      <c r="G218">
        <v>3</v>
      </c>
      <c r="H218" s="7" t="s">
        <v>26</v>
      </c>
      <c r="I218" s="7" t="s">
        <v>26</v>
      </c>
      <c r="J218" s="7">
        <v>6.31</v>
      </c>
      <c r="K218">
        <v>5.43</v>
      </c>
      <c r="L218">
        <v>5.96</v>
      </c>
      <c r="M218">
        <v>200</v>
      </c>
      <c r="N218" s="7" t="s">
        <v>189</v>
      </c>
      <c r="O218" s="7" t="s">
        <v>294</v>
      </c>
    </row>
    <row r="219" spans="1:15" x14ac:dyDescent="0.2">
      <c r="A219">
        <v>73017</v>
      </c>
      <c r="B219" s="7" t="s">
        <v>283</v>
      </c>
      <c r="C219">
        <v>655</v>
      </c>
      <c r="D219">
        <v>133</v>
      </c>
      <c r="E219">
        <v>127</v>
      </c>
      <c r="F219">
        <v>1</v>
      </c>
      <c r="G219">
        <v>9</v>
      </c>
      <c r="H219" s="7" t="s">
        <v>29</v>
      </c>
      <c r="I219" s="7">
        <v>40.64</v>
      </c>
      <c r="J219" s="7">
        <v>30</v>
      </c>
      <c r="N219" s="7" t="s">
        <v>188</v>
      </c>
    </row>
    <row r="220" spans="1:15" x14ac:dyDescent="0.2">
      <c r="A220">
        <v>73017</v>
      </c>
      <c r="B220" s="7" t="s">
        <v>283</v>
      </c>
      <c r="C220">
        <v>655</v>
      </c>
      <c r="D220">
        <v>133</v>
      </c>
      <c r="E220">
        <v>127</v>
      </c>
      <c r="F220">
        <v>2</v>
      </c>
      <c r="G220">
        <v>12</v>
      </c>
      <c r="H220" s="7" t="s">
        <v>29</v>
      </c>
      <c r="I220">
        <v>40.659999999999997</v>
      </c>
      <c r="J220" s="7">
        <v>30</v>
      </c>
      <c r="N220" s="7" t="s">
        <v>188</v>
      </c>
    </row>
    <row r="221" spans="1:15" x14ac:dyDescent="0.2">
      <c r="A221">
        <v>73017</v>
      </c>
      <c r="B221" s="7" t="s">
        <v>283</v>
      </c>
      <c r="C221">
        <v>655</v>
      </c>
      <c r="D221">
        <v>133</v>
      </c>
      <c r="E221">
        <v>127</v>
      </c>
      <c r="F221">
        <v>3</v>
      </c>
      <c r="G221">
        <v>13</v>
      </c>
      <c r="H221" s="7" t="s">
        <v>29</v>
      </c>
      <c r="I221">
        <v>40.49</v>
      </c>
      <c r="J221" s="7">
        <v>31</v>
      </c>
      <c r="N221" s="7" t="s">
        <v>188</v>
      </c>
    </row>
    <row r="222" spans="1:15" x14ac:dyDescent="0.2">
      <c r="A222">
        <v>73017</v>
      </c>
      <c r="B222" s="7" t="s">
        <v>283</v>
      </c>
      <c r="C222">
        <v>655</v>
      </c>
      <c r="D222">
        <v>133</v>
      </c>
      <c r="E222">
        <v>127</v>
      </c>
      <c r="F222">
        <v>4</v>
      </c>
      <c r="G222">
        <v>12</v>
      </c>
      <c r="H222" s="7" t="s">
        <v>29</v>
      </c>
      <c r="I222">
        <v>41.28</v>
      </c>
      <c r="J222" s="7">
        <v>29</v>
      </c>
      <c r="N222" s="7" t="s">
        <v>188</v>
      </c>
    </row>
    <row r="223" spans="1:15" x14ac:dyDescent="0.2">
      <c r="A223">
        <v>73017</v>
      </c>
      <c r="B223" s="7" t="s">
        <v>283</v>
      </c>
      <c r="C223">
        <v>655</v>
      </c>
      <c r="D223">
        <v>133</v>
      </c>
      <c r="E223">
        <v>127</v>
      </c>
      <c r="F223">
        <v>5</v>
      </c>
      <c r="G223">
        <v>10</v>
      </c>
      <c r="H223" s="7" t="s">
        <v>29</v>
      </c>
      <c r="I223">
        <v>42.68</v>
      </c>
      <c r="J223" s="7">
        <v>13</v>
      </c>
      <c r="N223" s="7" t="s">
        <v>188</v>
      </c>
    </row>
    <row r="224" spans="1:15" x14ac:dyDescent="0.2">
      <c r="A224">
        <v>80317</v>
      </c>
      <c r="B224" s="7" t="s">
        <v>302</v>
      </c>
      <c r="C224">
        <v>650</v>
      </c>
      <c r="D224">
        <v>77</v>
      </c>
      <c r="E224">
        <v>35</v>
      </c>
      <c r="F224">
        <v>1</v>
      </c>
      <c r="G224">
        <v>37</v>
      </c>
      <c r="H224">
        <v>14.8</v>
      </c>
      <c r="I224">
        <v>43.58</v>
      </c>
      <c r="J224" s="7">
        <v>12</v>
      </c>
      <c r="N224" s="7" t="s">
        <v>190</v>
      </c>
    </row>
    <row r="225" spans="1:15" x14ac:dyDescent="0.2">
      <c r="A225">
        <v>80317</v>
      </c>
      <c r="B225" s="7" t="s">
        <v>302</v>
      </c>
      <c r="C225">
        <v>650</v>
      </c>
      <c r="D225">
        <v>77</v>
      </c>
      <c r="E225">
        <v>35</v>
      </c>
      <c r="F225">
        <v>2</v>
      </c>
      <c r="G225">
        <v>38</v>
      </c>
      <c r="H225">
        <v>15.2</v>
      </c>
      <c r="I225">
        <v>41.04</v>
      </c>
      <c r="J225" s="7">
        <v>32</v>
      </c>
      <c r="N225" s="7" t="s">
        <v>190</v>
      </c>
    </row>
    <row r="226" spans="1:15" x14ac:dyDescent="0.2">
      <c r="A226">
        <v>80317</v>
      </c>
      <c r="B226" s="7" t="s">
        <v>302</v>
      </c>
      <c r="C226">
        <v>650</v>
      </c>
      <c r="D226">
        <v>77</v>
      </c>
      <c r="E226">
        <v>35</v>
      </c>
      <c r="F226">
        <v>3</v>
      </c>
      <c r="G226">
        <v>42</v>
      </c>
      <c r="H226">
        <v>16.8</v>
      </c>
      <c r="I226">
        <v>40.28</v>
      </c>
      <c r="J226" s="7">
        <v>8</v>
      </c>
      <c r="N226" s="7" t="s">
        <v>190</v>
      </c>
    </row>
    <row r="227" spans="1:15" x14ac:dyDescent="0.2">
      <c r="A227">
        <v>80317</v>
      </c>
      <c r="B227" t="s">
        <v>363</v>
      </c>
      <c r="C227">
        <v>1167</v>
      </c>
      <c r="D227">
        <v>46</v>
      </c>
      <c r="E227">
        <v>290</v>
      </c>
      <c r="F227">
        <v>1</v>
      </c>
      <c r="G227">
        <v>18</v>
      </c>
      <c r="H227">
        <v>7.2</v>
      </c>
      <c r="I227">
        <v>41.02</v>
      </c>
      <c r="J227" s="7">
        <v>9</v>
      </c>
      <c r="N227" s="7" t="s">
        <v>188</v>
      </c>
      <c r="O227" s="7" t="s">
        <v>307</v>
      </c>
    </row>
    <row r="228" spans="1:15" x14ac:dyDescent="0.2">
      <c r="A228">
        <v>80317</v>
      </c>
      <c r="B228" t="s">
        <v>363</v>
      </c>
      <c r="C228">
        <v>1167</v>
      </c>
      <c r="D228">
        <v>46</v>
      </c>
      <c r="E228">
        <v>290</v>
      </c>
      <c r="F228">
        <v>2</v>
      </c>
      <c r="G228">
        <v>25</v>
      </c>
      <c r="H228">
        <v>10</v>
      </c>
      <c r="I228">
        <v>40.14</v>
      </c>
      <c r="J228" s="7">
        <v>19</v>
      </c>
      <c r="N228" s="7" t="s">
        <v>188</v>
      </c>
    </row>
    <row r="229" spans="1:15" x14ac:dyDescent="0.2">
      <c r="A229">
        <v>80317</v>
      </c>
      <c r="B229" t="s">
        <v>363</v>
      </c>
      <c r="C229">
        <v>1167</v>
      </c>
      <c r="D229">
        <v>46</v>
      </c>
      <c r="E229">
        <v>290</v>
      </c>
      <c r="F229">
        <v>3</v>
      </c>
      <c r="G229">
        <v>22</v>
      </c>
      <c r="H229">
        <v>8.8000000000000007</v>
      </c>
      <c r="I229">
        <v>41.37</v>
      </c>
      <c r="J229" s="7">
        <v>28</v>
      </c>
      <c r="N229" s="7" t="s">
        <v>188</v>
      </c>
    </row>
    <row r="230" spans="1:15" x14ac:dyDescent="0.2">
      <c r="A230">
        <v>80317</v>
      </c>
      <c r="B230" t="s">
        <v>363</v>
      </c>
      <c r="C230">
        <v>1167</v>
      </c>
      <c r="D230">
        <v>46</v>
      </c>
      <c r="E230">
        <v>290</v>
      </c>
      <c r="F230">
        <v>4</v>
      </c>
      <c r="G230">
        <v>20</v>
      </c>
      <c r="H230">
        <v>8</v>
      </c>
      <c r="I230">
        <v>40.06</v>
      </c>
      <c r="J230" s="7">
        <v>44</v>
      </c>
      <c r="N230" s="7" t="s">
        <v>188</v>
      </c>
    </row>
    <row r="231" spans="1:15" x14ac:dyDescent="0.2">
      <c r="A231">
        <v>80317</v>
      </c>
      <c r="B231" t="s">
        <v>363</v>
      </c>
      <c r="C231">
        <v>1167</v>
      </c>
      <c r="D231">
        <v>46</v>
      </c>
      <c r="E231">
        <v>290</v>
      </c>
      <c r="F231">
        <v>5</v>
      </c>
      <c r="G231">
        <v>19</v>
      </c>
      <c r="H231">
        <v>7.6</v>
      </c>
      <c r="I231">
        <v>40.44</v>
      </c>
      <c r="J231" s="7">
        <v>35</v>
      </c>
      <c r="N231" s="7" t="s">
        <v>188</v>
      </c>
      <c r="O231" s="7" t="s">
        <v>308</v>
      </c>
    </row>
    <row r="232" spans="1:15" x14ac:dyDescent="0.2">
      <c r="A232">
        <v>80317</v>
      </c>
      <c r="B232" t="s">
        <v>363</v>
      </c>
      <c r="C232">
        <v>1167</v>
      </c>
      <c r="D232">
        <v>46</v>
      </c>
      <c r="E232">
        <v>290</v>
      </c>
      <c r="F232">
        <v>6</v>
      </c>
      <c r="G232">
        <v>19</v>
      </c>
      <c r="H232">
        <v>7.6</v>
      </c>
      <c r="I232">
        <v>40.39</v>
      </c>
      <c r="J232" s="7">
        <v>29</v>
      </c>
      <c r="N232" s="7" t="s">
        <v>188</v>
      </c>
    </row>
    <row r="233" spans="1:15" x14ac:dyDescent="0.2">
      <c r="A233">
        <v>80317</v>
      </c>
      <c r="B233" t="s">
        <v>363</v>
      </c>
      <c r="C233">
        <v>1167</v>
      </c>
      <c r="D233">
        <v>46</v>
      </c>
      <c r="E233">
        <v>290</v>
      </c>
      <c r="F233">
        <v>7</v>
      </c>
      <c r="G233">
        <v>18</v>
      </c>
      <c r="H233">
        <v>7.2</v>
      </c>
      <c r="I233">
        <v>40.28</v>
      </c>
      <c r="J233" s="7">
        <v>25</v>
      </c>
      <c r="N233" s="7" t="s">
        <v>188</v>
      </c>
    </row>
    <row r="234" spans="1:15" x14ac:dyDescent="0.2">
      <c r="A234">
        <v>80317</v>
      </c>
      <c r="B234" t="s">
        <v>363</v>
      </c>
      <c r="C234">
        <v>1167</v>
      </c>
      <c r="D234">
        <v>46</v>
      </c>
      <c r="E234">
        <v>290</v>
      </c>
      <c r="F234">
        <v>8</v>
      </c>
      <c r="G234">
        <v>10</v>
      </c>
      <c r="H234" s="7" t="s">
        <v>29</v>
      </c>
      <c r="I234">
        <v>42.21</v>
      </c>
      <c r="J234" s="7">
        <v>18</v>
      </c>
      <c r="N234" s="7" t="s">
        <v>188</v>
      </c>
      <c r="O234" s="7" t="s">
        <v>309</v>
      </c>
    </row>
    <row r="235" spans="1:15" x14ac:dyDescent="0.2">
      <c r="A235">
        <v>80317</v>
      </c>
      <c r="B235" t="s">
        <v>363</v>
      </c>
      <c r="C235">
        <v>1167</v>
      </c>
      <c r="D235">
        <v>46</v>
      </c>
      <c r="E235">
        <v>290</v>
      </c>
      <c r="F235">
        <v>9</v>
      </c>
      <c r="G235">
        <v>8</v>
      </c>
      <c r="H235" s="7" t="s">
        <v>106</v>
      </c>
      <c r="I235" s="7" t="s">
        <v>26</v>
      </c>
      <c r="J235" s="7">
        <v>4.84</v>
      </c>
      <c r="K235" s="7">
        <v>3.16</v>
      </c>
      <c r="L235" s="7">
        <v>3.64</v>
      </c>
      <c r="M235">
        <v>100</v>
      </c>
      <c r="N235" s="7" t="s">
        <v>189</v>
      </c>
      <c r="O235" s="7" t="s">
        <v>310</v>
      </c>
    </row>
    <row r="236" spans="1:15" x14ac:dyDescent="0.2">
      <c r="A236">
        <v>80317</v>
      </c>
      <c r="B236" t="s">
        <v>363</v>
      </c>
      <c r="C236">
        <v>1167</v>
      </c>
      <c r="D236">
        <v>46</v>
      </c>
      <c r="E236">
        <v>290</v>
      </c>
      <c r="F236">
        <v>10</v>
      </c>
      <c r="G236">
        <v>7</v>
      </c>
      <c r="H236" s="7" t="s">
        <v>106</v>
      </c>
      <c r="I236" s="7" t="s">
        <v>26</v>
      </c>
      <c r="J236" s="7">
        <v>5.04</v>
      </c>
      <c r="K236" s="7">
        <v>6.19</v>
      </c>
      <c r="L236" s="7">
        <v>4.79</v>
      </c>
      <c r="M236">
        <v>100</v>
      </c>
      <c r="N236" s="7" t="s">
        <v>189</v>
      </c>
    </row>
    <row r="237" spans="1:15" x14ac:dyDescent="0.2">
      <c r="A237">
        <v>80517</v>
      </c>
      <c r="B237" s="7" t="s">
        <v>303</v>
      </c>
      <c r="C237">
        <v>500</v>
      </c>
      <c r="D237">
        <v>131</v>
      </c>
      <c r="E237">
        <v>28</v>
      </c>
      <c r="F237">
        <v>1</v>
      </c>
      <c r="G237">
        <v>4</v>
      </c>
      <c r="H237" s="7" t="s">
        <v>26</v>
      </c>
      <c r="I237" s="7" t="s">
        <v>26</v>
      </c>
      <c r="J237" s="7">
        <v>5.62</v>
      </c>
      <c r="K237" s="7">
        <v>5.41</v>
      </c>
      <c r="L237" s="7">
        <v>6.9</v>
      </c>
      <c r="M237" s="7">
        <v>100</v>
      </c>
      <c r="N237" s="7" t="s">
        <v>189</v>
      </c>
      <c r="O237" s="7" t="s">
        <v>311</v>
      </c>
    </row>
    <row r="238" spans="1:15" x14ac:dyDescent="0.2">
      <c r="A238">
        <v>80517</v>
      </c>
      <c r="B238" s="7" t="s">
        <v>303</v>
      </c>
      <c r="C238">
        <v>500</v>
      </c>
      <c r="D238">
        <v>131</v>
      </c>
      <c r="E238">
        <v>28</v>
      </c>
      <c r="F238">
        <v>2</v>
      </c>
      <c r="G238">
        <v>4</v>
      </c>
      <c r="H238" s="7" t="s">
        <v>26</v>
      </c>
      <c r="I238" s="7" t="s">
        <v>26</v>
      </c>
      <c r="J238" s="7" t="s">
        <v>106</v>
      </c>
      <c r="K238" s="7" t="s">
        <v>106</v>
      </c>
      <c r="L238" s="7" t="s">
        <v>106</v>
      </c>
      <c r="M238" s="7">
        <v>100</v>
      </c>
      <c r="N238" s="7" t="s">
        <v>189</v>
      </c>
      <c r="O238" s="7" t="s">
        <v>198</v>
      </c>
    </row>
    <row r="239" spans="1:15" x14ac:dyDescent="0.2">
      <c r="A239">
        <v>80517</v>
      </c>
      <c r="B239" s="7" t="s">
        <v>304</v>
      </c>
      <c r="C239">
        <v>720</v>
      </c>
      <c r="D239">
        <v>17</v>
      </c>
      <c r="E239">
        <v>33</v>
      </c>
      <c r="F239">
        <v>1</v>
      </c>
      <c r="G239">
        <v>9</v>
      </c>
      <c r="H239" s="7" t="s">
        <v>26</v>
      </c>
      <c r="I239" s="7" t="s">
        <v>26</v>
      </c>
      <c r="J239" s="7">
        <v>12.32</v>
      </c>
      <c r="K239" s="7">
        <v>12.43</v>
      </c>
      <c r="L239" s="7">
        <v>11.33</v>
      </c>
      <c r="M239" s="7">
        <v>100</v>
      </c>
      <c r="N239" s="7" t="s">
        <v>189</v>
      </c>
      <c r="O239" s="7" t="s">
        <v>312</v>
      </c>
    </row>
    <row r="240" spans="1:15" x14ac:dyDescent="0.2">
      <c r="A240">
        <v>80717</v>
      </c>
      <c r="B240" s="7" t="s">
        <v>25</v>
      </c>
      <c r="C240" s="7" t="s">
        <v>26</v>
      </c>
      <c r="D240" s="7" t="s">
        <v>26</v>
      </c>
      <c r="E240">
        <v>2641</v>
      </c>
      <c r="F240">
        <v>1</v>
      </c>
      <c r="G240">
        <v>111</v>
      </c>
      <c r="H240">
        <v>44.4</v>
      </c>
      <c r="I240">
        <v>42.91</v>
      </c>
      <c r="J240" s="7">
        <v>5</v>
      </c>
      <c r="N240" s="7" t="s">
        <v>188</v>
      </c>
      <c r="O240" s="7" t="s">
        <v>313</v>
      </c>
    </row>
    <row r="241" spans="1:15" x14ac:dyDescent="0.2">
      <c r="A241">
        <v>80717</v>
      </c>
      <c r="B241" s="7" t="s">
        <v>25</v>
      </c>
      <c r="C241" s="7" t="s">
        <v>26</v>
      </c>
      <c r="D241" s="7" t="s">
        <v>26</v>
      </c>
      <c r="E241">
        <v>2641</v>
      </c>
      <c r="F241">
        <v>3</v>
      </c>
      <c r="G241">
        <v>315</v>
      </c>
      <c r="H241" s="7" t="s">
        <v>314</v>
      </c>
      <c r="I241">
        <v>44.83</v>
      </c>
      <c r="J241" s="7">
        <v>6</v>
      </c>
      <c r="N241" s="7" t="s">
        <v>188</v>
      </c>
    </row>
    <row r="242" spans="1:15" x14ac:dyDescent="0.2">
      <c r="A242">
        <v>80717</v>
      </c>
      <c r="B242" s="7" t="s">
        <v>25</v>
      </c>
      <c r="C242" s="7" t="s">
        <v>26</v>
      </c>
      <c r="D242" s="7" t="s">
        <v>26</v>
      </c>
      <c r="E242">
        <v>2641</v>
      </c>
      <c r="F242">
        <v>5</v>
      </c>
      <c r="G242">
        <v>281</v>
      </c>
      <c r="H242" s="7" t="s">
        <v>315</v>
      </c>
      <c r="I242">
        <v>42.53</v>
      </c>
      <c r="J242" s="7">
        <v>8</v>
      </c>
      <c r="N242" s="7" t="s">
        <v>188</v>
      </c>
    </row>
    <row r="243" spans="1:15" x14ac:dyDescent="0.2">
      <c r="A243">
        <v>80717</v>
      </c>
      <c r="B243" s="7" t="s">
        <v>25</v>
      </c>
      <c r="C243" s="7" t="s">
        <v>26</v>
      </c>
      <c r="D243" s="7" t="s">
        <v>26</v>
      </c>
      <c r="E243">
        <v>2641</v>
      </c>
      <c r="F243">
        <v>10</v>
      </c>
      <c r="G243">
        <v>83</v>
      </c>
      <c r="H243">
        <v>0.6</v>
      </c>
      <c r="I243" s="7" t="s">
        <v>26</v>
      </c>
      <c r="J243" s="7" t="s">
        <v>106</v>
      </c>
      <c r="K243" s="7" t="s">
        <v>106</v>
      </c>
      <c r="L243" s="7" t="s">
        <v>106</v>
      </c>
      <c r="M243" s="7" t="s">
        <v>106</v>
      </c>
      <c r="N243" s="7" t="s">
        <v>188</v>
      </c>
      <c r="O243" s="7" t="s">
        <v>198</v>
      </c>
    </row>
    <row r="244" spans="1:15" x14ac:dyDescent="0.2">
      <c r="A244">
        <v>80917</v>
      </c>
      <c r="B244" s="24" t="s">
        <v>321</v>
      </c>
      <c r="C244">
        <v>465</v>
      </c>
      <c r="D244">
        <v>51</v>
      </c>
      <c r="E244">
        <v>34</v>
      </c>
      <c r="F244">
        <v>1</v>
      </c>
      <c r="G244">
        <v>5</v>
      </c>
      <c r="H244" t="s">
        <v>26</v>
      </c>
      <c r="I244" t="s">
        <v>26</v>
      </c>
      <c r="J244" s="7">
        <v>43.37</v>
      </c>
      <c r="K244" s="7">
        <v>46.24</v>
      </c>
      <c r="L244" s="7">
        <v>53.82</v>
      </c>
      <c r="M244" s="7">
        <v>100</v>
      </c>
      <c r="N244" s="7" t="s">
        <v>189</v>
      </c>
      <c r="O244" s="7" t="s">
        <v>325</v>
      </c>
    </row>
    <row r="245" spans="1:15" x14ac:dyDescent="0.2">
      <c r="A245">
        <v>80917</v>
      </c>
      <c r="B245" s="7" t="s">
        <v>326</v>
      </c>
      <c r="C245">
        <v>676</v>
      </c>
      <c r="D245">
        <v>105</v>
      </c>
      <c r="E245">
        <v>24</v>
      </c>
      <c r="F245">
        <v>1</v>
      </c>
      <c r="G245">
        <v>18</v>
      </c>
      <c r="H245">
        <v>7.2</v>
      </c>
      <c r="I245">
        <v>40.61</v>
      </c>
      <c r="J245">
        <v>14</v>
      </c>
      <c r="K245" s="7" t="s">
        <v>106</v>
      </c>
      <c r="L245" s="7" t="s">
        <v>106</v>
      </c>
      <c r="M245" s="7" t="s">
        <v>106</v>
      </c>
      <c r="N245" s="7" t="s">
        <v>188</v>
      </c>
      <c r="O245" s="7" t="s">
        <v>327</v>
      </c>
    </row>
    <row r="246" spans="1:15" x14ac:dyDescent="0.2">
      <c r="F246">
        <v>2</v>
      </c>
      <c r="G246">
        <v>22</v>
      </c>
      <c r="H246">
        <v>8.8000000000000007</v>
      </c>
      <c r="I246">
        <v>40.65</v>
      </c>
      <c r="J246">
        <v>30</v>
      </c>
      <c r="K246" s="7" t="s">
        <v>106</v>
      </c>
      <c r="L246" s="7" t="s">
        <v>106</v>
      </c>
      <c r="M246" s="7" t="s">
        <v>106</v>
      </c>
      <c r="N246" s="7" t="s">
        <v>188</v>
      </c>
      <c r="O246" s="7" t="s">
        <v>328</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3"/>
  <sheetViews>
    <sheetView tabSelected="1" workbookViewId="0">
      <pane ySplit="1" topLeftCell="A17" activePane="bottomLeft" state="frozen"/>
      <selection pane="bottomLeft" activeCell="H38" sqref="H38"/>
    </sheetView>
  </sheetViews>
  <sheetFormatPr defaultRowHeight="12.75" x14ac:dyDescent="0.2"/>
  <cols>
    <col min="1" max="1" width="15.140625" bestFit="1" customWidth="1"/>
    <col min="2" max="2" width="6" bestFit="1" customWidth="1"/>
    <col min="3" max="3" width="5.5703125" bestFit="1" customWidth="1"/>
    <col min="4" max="4" width="11.28515625" bestFit="1" customWidth="1"/>
    <col min="5" max="5" width="31" bestFit="1" customWidth="1"/>
    <col min="6" max="6" width="6.140625" bestFit="1" customWidth="1"/>
    <col min="7" max="7" width="6.85546875" bestFit="1" customWidth="1"/>
    <col min="8" max="8" width="10.5703125" bestFit="1" customWidth="1"/>
    <col min="9" max="9" width="12.5703125" bestFit="1" customWidth="1"/>
    <col min="10" max="10" width="6.7109375" bestFit="1" customWidth="1"/>
    <col min="11" max="11" width="13.42578125" bestFit="1" customWidth="1"/>
    <col min="12" max="12" width="4.28515625" bestFit="1" customWidth="1"/>
    <col min="13" max="13" width="13.42578125" bestFit="1" customWidth="1"/>
    <col min="14" max="14" width="79.42578125" bestFit="1" customWidth="1"/>
    <col min="15" max="15" width="255.7109375" bestFit="1" customWidth="1"/>
  </cols>
  <sheetData>
    <row r="1" spans="1:15" s="6" customFormat="1" x14ac:dyDescent="0.2">
      <c r="A1" s="6" t="s">
        <v>15</v>
      </c>
      <c r="B1" s="6" t="s">
        <v>32</v>
      </c>
      <c r="C1" s="6" t="s">
        <v>33</v>
      </c>
      <c r="D1" s="6" t="s">
        <v>156</v>
      </c>
      <c r="E1" s="6" t="s">
        <v>157</v>
      </c>
      <c r="F1" s="6" t="s">
        <v>158</v>
      </c>
      <c r="G1" s="6" t="s">
        <v>392</v>
      </c>
      <c r="H1" s="6" t="s">
        <v>391</v>
      </c>
      <c r="I1" s="6" t="s">
        <v>389</v>
      </c>
      <c r="J1" s="6" t="s">
        <v>390</v>
      </c>
      <c r="K1" s="6" t="s">
        <v>393</v>
      </c>
      <c r="L1" s="6" t="s">
        <v>160</v>
      </c>
      <c r="M1" s="6" t="s">
        <v>296</v>
      </c>
      <c r="N1" s="6" t="s">
        <v>24</v>
      </c>
      <c r="O1" s="6" t="s">
        <v>388</v>
      </c>
    </row>
    <row r="2" spans="1:15" x14ac:dyDescent="0.2">
      <c r="A2" s="7" t="s">
        <v>82</v>
      </c>
      <c r="B2">
        <v>71217</v>
      </c>
      <c r="C2" s="7" t="s">
        <v>106</v>
      </c>
      <c r="D2" s="7" t="s">
        <v>168</v>
      </c>
      <c r="E2" s="7" t="s">
        <v>176</v>
      </c>
      <c r="F2">
        <v>1</v>
      </c>
      <c r="G2">
        <v>4.6500000000000004</v>
      </c>
      <c r="H2">
        <v>-6</v>
      </c>
      <c r="I2">
        <f>G2*SIN(RADIANS(H2))</f>
        <v>-0.48605735419458868</v>
      </c>
      <c r="J2">
        <f>G2*COS(RADIANS(H2))</f>
        <v>4.6245268134624711</v>
      </c>
      <c r="K2">
        <f>I2/J2</f>
        <v>-0.10510423526567647</v>
      </c>
      <c r="L2" s="7" t="s">
        <v>179</v>
      </c>
    </row>
    <row r="3" spans="1:15" x14ac:dyDescent="0.2">
      <c r="A3" s="7" t="s">
        <v>82</v>
      </c>
      <c r="B3">
        <v>71217</v>
      </c>
      <c r="C3" s="7" t="s">
        <v>106</v>
      </c>
      <c r="D3" s="7" t="s">
        <v>168</v>
      </c>
      <c r="E3" s="7" t="s">
        <v>176</v>
      </c>
      <c r="F3">
        <v>2</v>
      </c>
      <c r="G3">
        <v>4.8499999999999996</v>
      </c>
      <c r="H3">
        <v>-1</v>
      </c>
      <c r="I3">
        <f t="shared" ref="I3:I66" si="0">G3*SIN(RADIANS(H3))</f>
        <v>-8.4644171220825029E-2</v>
      </c>
      <c r="J3">
        <f t="shared" ref="J3:J66" si="1">G3*COS(RADIANS(H3))</f>
        <v>4.8492613215084974</v>
      </c>
      <c r="K3">
        <f t="shared" ref="K3:K66" si="2">I3/J3</f>
        <v>-1.7455064928217585E-2</v>
      </c>
      <c r="L3" s="7" t="s">
        <v>178</v>
      </c>
      <c r="N3" s="7" t="s">
        <v>211</v>
      </c>
    </row>
    <row r="4" spans="1:15" x14ac:dyDescent="0.2">
      <c r="A4" s="7" t="s">
        <v>82</v>
      </c>
      <c r="B4">
        <v>71217</v>
      </c>
      <c r="C4" s="7" t="s">
        <v>106</v>
      </c>
      <c r="D4" s="7" t="s">
        <v>168</v>
      </c>
      <c r="E4" s="7" t="s">
        <v>176</v>
      </c>
      <c r="F4">
        <v>3</v>
      </c>
      <c r="G4">
        <v>4.0599999999999996</v>
      </c>
      <c r="H4">
        <v>-4</v>
      </c>
      <c r="I4">
        <f t="shared" si="0"/>
        <v>-0.28321128340114871</v>
      </c>
      <c r="J4">
        <f t="shared" si="1"/>
        <v>4.0501100440548861</v>
      </c>
      <c r="K4">
        <f t="shared" si="2"/>
        <v>-6.9926811943510414E-2</v>
      </c>
      <c r="L4" s="7" t="s">
        <v>177</v>
      </c>
    </row>
    <row r="5" spans="1:15" x14ac:dyDescent="0.2">
      <c r="A5" s="7" t="s">
        <v>84</v>
      </c>
      <c r="B5">
        <v>71217</v>
      </c>
      <c r="C5" s="5">
        <v>0.61944444444444446</v>
      </c>
      <c r="D5" s="7" t="s">
        <v>99</v>
      </c>
      <c r="E5" s="7" t="s">
        <v>168</v>
      </c>
      <c r="F5">
        <v>1</v>
      </c>
      <c r="G5">
        <v>3.1</v>
      </c>
      <c r="H5">
        <v>-4</v>
      </c>
      <c r="I5">
        <f t="shared" si="0"/>
        <v>-0.21624506860678844</v>
      </c>
      <c r="J5">
        <f t="shared" si="1"/>
        <v>3.0924485558054551</v>
      </c>
      <c r="K5">
        <f t="shared" si="2"/>
        <v>-6.9926811943510414E-2</v>
      </c>
      <c r="L5" s="7" t="s">
        <v>179</v>
      </c>
    </row>
    <row r="6" spans="1:15" x14ac:dyDescent="0.2">
      <c r="A6" s="7" t="s">
        <v>84</v>
      </c>
      <c r="B6">
        <v>71217</v>
      </c>
      <c r="C6" s="5">
        <v>0.61944444444444446</v>
      </c>
      <c r="D6" s="7" t="s">
        <v>99</v>
      </c>
      <c r="E6" s="7" t="s">
        <v>168</v>
      </c>
      <c r="F6">
        <v>2</v>
      </c>
      <c r="G6">
        <v>3.5</v>
      </c>
      <c r="H6">
        <v>-6</v>
      </c>
      <c r="I6">
        <f t="shared" si="0"/>
        <v>-0.36584962143678712</v>
      </c>
      <c r="J6">
        <f t="shared" si="1"/>
        <v>3.4808266337889564</v>
      </c>
      <c r="K6">
        <f t="shared" si="2"/>
        <v>-0.10510423526567646</v>
      </c>
      <c r="L6" s="7" t="s">
        <v>178</v>
      </c>
      <c r="N6" s="7" t="s">
        <v>211</v>
      </c>
    </row>
    <row r="7" spans="1:15" x14ac:dyDescent="0.2">
      <c r="A7" s="7" t="s">
        <v>84</v>
      </c>
      <c r="B7">
        <v>71217</v>
      </c>
      <c r="C7" s="5">
        <v>0.61944444444444446</v>
      </c>
      <c r="D7" s="7" t="s">
        <v>99</v>
      </c>
      <c r="E7" s="7" t="s">
        <v>168</v>
      </c>
      <c r="F7">
        <v>3</v>
      </c>
      <c r="G7">
        <v>4.28</v>
      </c>
      <c r="H7">
        <v>-5</v>
      </c>
      <c r="I7">
        <f t="shared" si="0"/>
        <v>-0.37302657895997698</v>
      </c>
      <c r="J7">
        <f t="shared" si="1"/>
        <v>4.2637133078326714</v>
      </c>
      <c r="K7">
        <f t="shared" si="2"/>
        <v>-8.7488663525923993E-2</v>
      </c>
      <c r="L7" s="7" t="s">
        <v>177</v>
      </c>
    </row>
    <row r="8" spans="1:15" x14ac:dyDescent="0.2">
      <c r="A8" s="7" t="s">
        <v>83</v>
      </c>
      <c r="B8">
        <v>71317</v>
      </c>
      <c r="C8" s="5">
        <v>0.46527777777777773</v>
      </c>
      <c r="D8" s="7" t="s">
        <v>216</v>
      </c>
      <c r="E8" s="7" t="s">
        <v>176</v>
      </c>
      <c r="F8">
        <v>1</v>
      </c>
      <c r="G8">
        <v>3.77</v>
      </c>
      <c r="H8" s="7">
        <v>-4</v>
      </c>
      <c r="I8">
        <f t="shared" si="0"/>
        <v>-0.26298190601535237</v>
      </c>
      <c r="J8">
        <f t="shared" si="1"/>
        <v>3.7608164694795372</v>
      </c>
      <c r="K8">
        <f t="shared" si="2"/>
        <v>-6.9926811943510414E-2</v>
      </c>
      <c r="L8" s="7" t="s">
        <v>179</v>
      </c>
      <c r="N8" s="7" t="s">
        <v>217</v>
      </c>
    </row>
    <row r="9" spans="1:15" x14ac:dyDescent="0.2">
      <c r="A9" s="7" t="s">
        <v>83</v>
      </c>
      <c r="B9">
        <v>71317</v>
      </c>
      <c r="C9" s="5">
        <v>0.46527777777777773</v>
      </c>
      <c r="D9" s="7" t="s">
        <v>216</v>
      </c>
      <c r="E9" s="7" t="s">
        <v>176</v>
      </c>
      <c r="F9">
        <v>2</v>
      </c>
      <c r="G9">
        <v>4.5999999999999996</v>
      </c>
      <c r="H9" s="7">
        <v>-1</v>
      </c>
      <c r="I9">
        <f t="shared" si="0"/>
        <v>-8.0281069611504149E-2</v>
      </c>
      <c r="J9">
        <f t="shared" si="1"/>
        <v>4.5992993977193999</v>
      </c>
      <c r="K9">
        <f t="shared" si="2"/>
        <v>-1.7455064928217582E-2</v>
      </c>
      <c r="L9" s="7" t="s">
        <v>178</v>
      </c>
    </row>
    <row r="10" spans="1:15" x14ac:dyDescent="0.2">
      <c r="A10" s="7" t="s">
        <v>83</v>
      </c>
      <c r="B10">
        <v>71317</v>
      </c>
      <c r="C10" s="5">
        <v>0.46527777777777773</v>
      </c>
      <c r="D10" s="7" t="s">
        <v>216</v>
      </c>
      <c r="E10" s="7" t="s">
        <v>176</v>
      </c>
      <c r="F10">
        <v>3</v>
      </c>
      <c r="G10">
        <v>4.05</v>
      </c>
      <c r="H10" s="7">
        <v>-7</v>
      </c>
      <c r="I10">
        <f t="shared" si="0"/>
        <v>-0.49357084079084723</v>
      </c>
      <c r="J10">
        <f t="shared" si="1"/>
        <v>4.0198119141473541</v>
      </c>
      <c r="K10">
        <f t="shared" si="2"/>
        <v>-0.12278456090290459</v>
      </c>
      <c r="L10" s="7" t="s">
        <v>177</v>
      </c>
    </row>
    <row r="11" spans="1:15" x14ac:dyDescent="0.2">
      <c r="A11" s="7" t="s">
        <v>86</v>
      </c>
      <c r="B11">
        <v>71417</v>
      </c>
      <c r="C11" s="5">
        <v>0.47222222222222227</v>
      </c>
      <c r="D11" s="7" t="s">
        <v>216</v>
      </c>
      <c r="E11" s="7" t="s">
        <v>176</v>
      </c>
      <c r="F11">
        <v>1</v>
      </c>
      <c r="G11">
        <v>2.25</v>
      </c>
      <c r="H11" s="7">
        <v>-2</v>
      </c>
      <c r="I11">
        <f t="shared" si="0"/>
        <v>-7.8523867580627182E-2</v>
      </c>
      <c r="J11">
        <f t="shared" si="1"/>
        <v>2.2486293607929655</v>
      </c>
      <c r="K11">
        <f t="shared" si="2"/>
        <v>-3.492076949174773E-2</v>
      </c>
      <c r="L11" s="7" t="s">
        <v>179</v>
      </c>
      <c r="O11" s="7" t="s">
        <v>289</v>
      </c>
    </row>
    <row r="12" spans="1:15" x14ac:dyDescent="0.2">
      <c r="A12" s="7" t="s">
        <v>86</v>
      </c>
      <c r="B12">
        <v>71417</v>
      </c>
      <c r="C12" s="5">
        <v>0.47222222222222227</v>
      </c>
      <c r="D12" s="7" t="s">
        <v>216</v>
      </c>
      <c r="E12" s="7" t="s">
        <v>176</v>
      </c>
      <c r="F12">
        <v>2</v>
      </c>
      <c r="G12">
        <v>5.7</v>
      </c>
      <c r="H12" s="7">
        <v>-2</v>
      </c>
      <c r="I12">
        <f t="shared" si="0"/>
        <v>-0.19892713120425554</v>
      </c>
      <c r="J12">
        <f t="shared" si="1"/>
        <v>5.6965277140088464</v>
      </c>
      <c r="K12">
        <f t="shared" si="2"/>
        <v>-3.4920769491747723E-2</v>
      </c>
      <c r="L12" s="7" t="s">
        <v>178</v>
      </c>
    </row>
    <row r="13" spans="1:15" x14ac:dyDescent="0.2">
      <c r="A13" s="7" t="s">
        <v>86</v>
      </c>
      <c r="B13">
        <v>71417</v>
      </c>
      <c r="C13" s="5">
        <v>0.47222222222222227</v>
      </c>
      <c r="D13" s="7" t="s">
        <v>216</v>
      </c>
      <c r="E13" s="7" t="s">
        <v>176</v>
      </c>
      <c r="F13">
        <v>3</v>
      </c>
      <c r="G13">
        <v>5.17</v>
      </c>
      <c r="H13" s="7">
        <v>-5</v>
      </c>
      <c r="I13">
        <f t="shared" si="0"/>
        <v>-0.45059519000539272</v>
      </c>
      <c r="J13">
        <f t="shared" si="1"/>
        <v>5.1503265891343242</v>
      </c>
      <c r="K13">
        <f t="shared" si="2"/>
        <v>-8.7488663525924007E-2</v>
      </c>
      <c r="L13" s="7" t="s">
        <v>177</v>
      </c>
    </row>
    <row r="14" spans="1:15" x14ac:dyDescent="0.2">
      <c r="A14" s="7" t="s">
        <v>88</v>
      </c>
      <c r="B14">
        <v>71417</v>
      </c>
      <c r="C14" s="5">
        <v>0.56736111111111109</v>
      </c>
      <c r="D14" s="7" t="s">
        <v>168</v>
      </c>
      <c r="E14" s="7" t="s">
        <v>176</v>
      </c>
      <c r="F14">
        <v>1</v>
      </c>
      <c r="G14">
        <v>5.59</v>
      </c>
      <c r="H14">
        <v>-2</v>
      </c>
      <c r="I14">
        <f t="shared" si="0"/>
        <v>-0.1950881865669804</v>
      </c>
      <c r="J14">
        <f t="shared" si="1"/>
        <v>5.586594723036745</v>
      </c>
      <c r="K14">
        <f t="shared" si="2"/>
        <v>-3.4920769491747723E-2</v>
      </c>
      <c r="L14" s="7" t="s">
        <v>179</v>
      </c>
      <c r="N14" s="7" t="s">
        <v>218</v>
      </c>
    </row>
    <row r="15" spans="1:15" x14ac:dyDescent="0.2">
      <c r="A15" s="7" t="s">
        <v>88</v>
      </c>
      <c r="B15">
        <v>71417</v>
      </c>
      <c r="C15" s="5">
        <v>0.56736111111111109</v>
      </c>
      <c r="D15" s="7" t="s">
        <v>168</v>
      </c>
      <c r="E15" s="7" t="s">
        <v>176</v>
      </c>
      <c r="F15">
        <v>2</v>
      </c>
      <c r="G15">
        <v>3.3</v>
      </c>
      <c r="H15">
        <v>-0.5</v>
      </c>
      <c r="I15">
        <f t="shared" si="0"/>
        <v>-2.8797567144633981E-2</v>
      </c>
      <c r="J15">
        <f t="shared" si="1"/>
        <v>3.299874346111765</v>
      </c>
      <c r="K15">
        <f t="shared" si="2"/>
        <v>-8.7268677907587893E-3</v>
      </c>
      <c r="L15" s="7" t="s">
        <v>178</v>
      </c>
    </row>
    <row r="16" spans="1:15" x14ac:dyDescent="0.2">
      <c r="A16" s="7" t="s">
        <v>88</v>
      </c>
      <c r="B16">
        <v>71417</v>
      </c>
      <c r="C16" s="5">
        <v>0.56736111111111109</v>
      </c>
      <c r="D16" s="7" t="s">
        <v>168</v>
      </c>
      <c r="E16" s="7" t="s">
        <v>176</v>
      </c>
      <c r="F16">
        <v>3</v>
      </c>
      <c r="G16">
        <v>7.86</v>
      </c>
      <c r="H16">
        <v>-3</v>
      </c>
      <c r="I16">
        <f t="shared" si="0"/>
        <v>-0.41136061606953855</v>
      </c>
      <c r="J16">
        <f t="shared" si="1"/>
        <v>7.8492281431709507</v>
      </c>
      <c r="K16">
        <f t="shared" si="2"/>
        <v>-5.240777928304121E-2</v>
      </c>
      <c r="L16" s="7" t="s">
        <v>177</v>
      </c>
    </row>
    <row r="17" spans="1:14" x14ac:dyDescent="0.2">
      <c r="A17" s="7" t="s">
        <v>91</v>
      </c>
      <c r="B17">
        <v>71517</v>
      </c>
      <c r="C17" s="5">
        <v>0.48819444444444443</v>
      </c>
      <c r="D17" s="7" t="s">
        <v>219</v>
      </c>
      <c r="E17" s="7" t="s">
        <v>176</v>
      </c>
      <c r="F17">
        <v>1</v>
      </c>
      <c r="G17">
        <v>3.96</v>
      </c>
      <c r="H17">
        <v>-3</v>
      </c>
      <c r="I17">
        <f t="shared" si="0"/>
        <v>-0.20725038672205759</v>
      </c>
      <c r="J17">
        <f t="shared" si="1"/>
        <v>3.9545729576281126</v>
      </c>
      <c r="K17">
        <f t="shared" si="2"/>
        <v>-5.240777928304121E-2</v>
      </c>
      <c r="L17" s="7" t="s">
        <v>179</v>
      </c>
      <c r="N17" s="7" t="s">
        <v>220</v>
      </c>
    </row>
    <row r="18" spans="1:14" x14ac:dyDescent="0.2">
      <c r="A18" s="7" t="s">
        <v>91</v>
      </c>
      <c r="B18">
        <v>71517</v>
      </c>
      <c r="C18" s="5">
        <v>0.48819444444444443</v>
      </c>
      <c r="D18" s="7" t="s">
        <v>219</v>
      </c>
      <c r="E18" s="7" t="s">
        <v>176</v>
      </c>
      <c r="F18">
        <v>2</v>
      </c>
      <c r="G18">
        <v>10.01</v>
      </c>
      <c r="H18">
        <v>-5</v>
      </c>
      <c r="I18">
        <f t="shared" si="0"/>
        <v>-0.87242898490405818</v>
      </c>
      <c r="J18">
        <f t="shared" si="1"/>
        <v>9.9719089278983724</v>
      </c>
      <c r="K18">
        <f t="shared" si="2"/>
        <v>-8.7488663525923993E-2</v>
      </c>
      <c r="L18" s="7" t="s">
        <v>178</v>
      </c>
    </row>
    <row r="19" spans="1:14" x14ac:dyDescent="0.2">
      <c r="A19" s="7" t="s">
        <v>91</v>
      </c>
      <c r="B19">
        <v>71517</v>
      </c>
      <c r="C19" s="5">
        <v>0.48819444444444443</v>
      </c>
      <c r="D19" s="7" t="s">
        <v>219</v>
      </c>
      <c r="E19" s="7" t="s">
        <v>176</v>
      </c>
      <c r="F19">
        <v>3</v>
      </c>
      <c r="G19">
        <v>4.6399999999999997</v>
      </c>
      <c r="H19">
        <v>-4</v>
      </c>
      <c r="I19">
        <f t="shared" si="0"/>
        <v>-0.32367003817274137</v>
      </c>
      <c r="J19">
        <f t="shared" si="1"/>
        <v>4.6286971932055838</v>
      </c>
      <c r="K19">
        <f t="shared" si="2"/>
        <v>-6.9926811943510414E-2</v>
      </c>
      <c r="L19" s="7" t="s">
        <v>177</v>
      </c>
    </row>
    <row r="20" spans="1:14" x14ac:dyDescent="0.2">
      <c r="A20" s="7" t="s">
        <v>93</v>
      </c>
      <c r="B20">
        <v>71517</v>
      </c>
      <c r="C20" s="5">
        <v>0.5805555555555556</v>
      </c>
      <c r="D20" s="7" t="s">
        <v>219</v>
      </c>
      <c r="E20" s="7" t="s">
        <v>221</v>
      </c>
      <c r="F20">
        <v>1</v>
      </c>
      <c r="G20">
        <v>2.81</v>
      </c>
      <c r="H20">
        <v>-0.5</v>
      </c>
      <c r="I20">
        <f t="shared" si="0"/>
        <v>-2.4521564750430758E-2</v>
      </c>
      <c r="J20">
        <f t="shared" si="1"/>
        <v>2.8098930038103216</v>
      </c>
      <c r="K20">
        <f t="shared" si="2"/>
        <v>-8.7268677907587893E-3</v>
      </c>
      <c r="L20" s="7" t="s">
        <v>179</v>
      </c>
      <c r="N20" s="7" t="s">
        <v>222</v>
      </c>
    </row>
    <row r="21" spans="1:14" x14ac:dyDescent="0.2">
      <c r="A21" s="7" t="s">
        <v>93</v>
      </c>
      <c r="B21">
        <v>71517</v>
      </c>
      <c r="C21" s="5">
        <v>0.5805555555555556</v>
      </c>
      <c r="D21" s="7" t="s">
        <v>219</v>
      </c>
      <c r="E21" s="7" t="s">
        <v>221</v>
      </c>
      <c r="F21">
        <v>2</v>
      </c>
      <c r="G21">
        <v>6.33</v>
      </c>
      <c r="H21">
        <v>-2.5</v>
      </c>
      <c r="I21">
        <f t="shared" si="0"/>
        <v>-0.27611072202257686</v>
      </c>
      <c r="J21">
        <f t="shared" si="1"/>
        <v>6.3239752426131597</v>
      </c>
      <c r="K21">
        <f t="shared" si="2"/>
        <v>-4.3660942908512058E-2</v>
      </c>
      <c r="L21" s="7" t="s">
        <v>178</v>
      </c>
    </row>
    <row r="22" spans="1:14" x14ac:dyDescent="0.2">
      <c r="A22" s="7" t="s">
        <v>93</v>
      </c>
      <c r="B22">
        <v>71517</v>
      </c>
      <c r="C22" s="5">
        <v>0.5805555555555556</v>
      </c>
      <c r="D22" s="7" t="s">
        <v>219</v>
      </c>
      <c r="E22" s="7" t="s">
        <v>221</v>
      </c>
      <c r="F22">
        <v>3</v>
      </c>
      <c r="G22">
        <v>6.73</v>
      </c>
      <c r="H22">
        <v>-5</v>
      </c>
      <c r="I22">
        <f t="shared" si="0"/>
        <v>-0.5865581486917395</v>
      </c>
      <c r="J22">
        <f t="shared" si="1"/>
        <v>6.704390318157448</v>
      </c>
      <c r="K22">
        <f t="shared" si="2"/>
        <v>-8.7488663525923993E-2</v>
      </c>
      <c r="L22" s="7" t="s">
        <v>177</v>
      </c>
    </row>
    <row r="23" spans="1:14" x14ac:dyDescent="0.2">
      <c r="A23" s="7" t="s">
        <v>119</v>
      </c>
      <c r="B23">
        <v>71717</v>
      </c>
      <c r="C23" s="7" t="s">
        <v>106</v>
      </c>
      <c r="D23" s="7" t="s">
        <v>106</v>
      </c>
      <c r="E23" s="7" t="s">
        <v>106</v>
      </c>
      <c r="F23">
        <v>1</v>
      </c>
      <c r="G23">
        <v>10.07</v>
      </c>
      <c r="H23">
        <v>-0.5</v>
      </c>
      <c r="I23">
        <f t="shared" si="0"/>
        <v>-8.7876212468625522E-2</v>
      </c>
      <c r="J23">
        <f t="shared" si="1"/>
        <v>10.069616565256206</v>
      </c>
      <c r="K23">
        <f t="shared" si="2"/>
        <v>-8.7268677907587876E-3</v>
      </c>
      <c r="L23" s="7" t="s">
        <v>179</v>
      </c>
      <c r="N23" s="7" t="s">
        <v>223</v>
      </c>
    </row>
    <row r="24" spans="1:14" x14ac:dyDescent="0.2">
      <c r="A24" s="7" t="s">
        <v>119</v>
      </c>
      <c r="B24">
        <v>71717</v>
      </c>
      <c r="C24" s="7" t="s">
        <v>106</v>
      </c>
      <c r="D24" s="7" t="s">
        <v>106</v>
      </c>
      <c r="E24" s="7" t="s">
        <v>106</v>
      </c>
      <c r="F24">
        <v>2</v>
      </c>
      <c r="G24">
        <v>7.76</v>
      </c>
      <c r="H24">
        <v>-1</v>
      </c>
      <c r="I24">
        <f t="shared" si="0"/>
        <v>-0.13543067395332004</v>
      </c>
      <c r="J24">
        <f t="shared" si="1"/>
        <v>7.7588181144135957</v>
      </c>
      <c r="K24">
        <f t="shared" si="2"/>
        <v>-1.7455064928217582E-2</v>
      </c>
      <c r="L24" s="7" t="s">
        <v>178</v>
      </c>
    </row>
    <row r="25" spans="1:14" x14ac:dyDescent="0.2">
      <c r="A25" s="7" t="s">
        <v>119</v>
      </c>
      <c r="B25">
        <v>71717</v>
      </c>
      <c r="C25" s="7" t="s">
        <v>106</v>
      </c>
      <c r="D25" s="7" t="s">
        <v>106</v>
      </c>
      <c r="E25" s="7" t="s">
        <v>106</v>
      </c>
      <c r="F25">
        <v>3</v>
      </c>
      <c r="G25">
        <v>5.38</v>
      </c>
      <c r="H25">
        <v>-0.5</v>
      </c>
      <c r="I25">
        <f t="shared" si="0"/>
        <v>-4.6948760981251766E-2</v>
      </c>
      <c r="J25">
        <f t="shared" si="1"/>
        <v>5.3797951460852413</v>
      </c>
      <c r="K25">
        <f t="shared" si="2"/>
        <v>-8.7268677907587893E-3</v>
      </c>
      <c r="L25" s="7" t="s">
        <v>177</v>
      </c>
    </row>
    <row r="26" spans="1:14" x14ac:dyDescent="0.2">
      <c r="A26" t="s">
        <v>121</v>
      </c>
      <c r="B26">
        <v>71717</v>
      </c>
      <c r="C26" s="5">
        <v>0.4993055555555555</v>
      </c>
      <c r="D26" s="7" t="s">
        <v>106</v>
      </c>
      <c r="E26" s="7" t="s">
        <v>106</v>
      </c>
      <c r="F26">
        <v>1</v>
      </c>
      <c r="G26">
        <v>3.04</v>
      </c>
      <c r="H26">
        <v>-3.5</v>
      </c>
      <c r="I26">
        <f t="shared" si="0"/>
        <v>-0.18558756018596489</v>
      </c>
      <c r="J26">
        <f t="shared" si="1"/>
        <v>3.0343297872024753</v>
      </c>
      <c r="K26">
        <f t="shared" si="2"/>
        <v>-6.1162620150484313E-2</v>
      </c>
      <c r="L26" s="7" t="s">
        <v>177</v>
      </c>
      <c r="N26" s="7" t="s">
        <v>224</v>
      </c>
    </row>
    <row r="27" spans="1:14" x14ac:dyDescent="0.2">
      <c r="A27" t="s">
        <v>121</v>
      </c>
      <c r="B27">
        <v>71717</v>
      </c>
      <c r="C27" s="5">
        <v>0.4993055555555555</v>
      </c>
      <c r="D27" s="7" t="s">
        <v>106</v>
      </c>
      <c r="E27" s="7" t="s">
        <v>106</v>
      </c>
      <c r="F27">
        <v>2</v>
      </c>
      <c r="G27">
        <v>4.54</v>
      </c>
      <c r="H27">
        <v>-4.5</v>
      </c>
      <c r="I27">
        <f t="shared" si="0"/>
        <v>-0.35620429460441605</v>
      </c>
      <c r="J27">
        <f t="shared" si="1"/>
        <v>4.5260046951484014</v>
      </c>
      <c r="K27">
        <f t="shared" si="2"/>
        <v>-7.8701706824618439E-2</v>
      </c>
      <c r="L27" s="7" t="s">
        <v>178</v>
      </c>
    </row>
    <row r="28" spans="1:14" x14ac:dyDescent="0.2">
      <c r="A28" t="s">
        <v>121</v>
      </c>
      <c r="B28">
        <v>71717</v>
      </c>
      <c r="C28" s="5">
        <v>0.4993055555555555</v>
      </c>
      <c r="D28" s="7" t="s">
        <v>106</v>
      </c>
      <c r="E28" s="7" t="s">
        <v>106</v>
      </c>
      <c r="F28">
        <v>3</v>
      </c>
      <c r="G28">
        <v>4.7300000000000004</v>
      </c>
      <c r="H28">
        <v>-4</v>
      </c>
      <c r="I28">
        <f t="shared" si="0"/>
        <v>-0.3299481208097127</v>
      </c>
      <c r="J28">
        <f t="shared" si="1"/>
        <v>4.7184779577289691</v>
      </c>
      <c r="K28">
        <f t="shared" si="2"/>
        <v>-6.9926811943510414E-2</v>
      </c>
      <c r="L28" s="7" t="s">
        <v>179</v>
      </c>
    </row>
    <row r="29" spans="1:14" x14ac:dyDescent="0.2">
      <c r="A29" t="s">
        <v>120</v>
      </c>
      <c r="B29">
        <v>71717</v>
      </c>
      <c r="C29" s="5">
        <v>0.62638888888888888</v>
      </c>
      <c r="D29" s="7" t="s">
        <v>106</v>
      </c>
      <c r="E29" s="7" t="s">
        <v>106</v>
      </c>
      <c r="F29">
        <v>1</v>
      </c>
      <c r="G29">
        <v>3.61</v>
      </c>
      <c r="H29">
        <v>-4.25</v>
      </c>
      <c r="I29">
        <f t="shared" si="0"/>
        <v>-0.26753164960539122</v>
      </c>
      <c r="J29">
        <f t="shared" si="1"/>
        <v>3.6000731682091431</v>
      </c>
      <c r="K29">
        <f t="shared" si="2"/>
        <v>-7.4312836741169591E-2</v>
      </c>
      <c r="L29" s="7" t="s">
        <v>177</v>
      </c>
      <c r="N29" s="7" t="s">
        <v>224</v>
      </c>
    </row>
    <row r="30" spans="1:14" x14ac:dyDescent="0.2">
      <c r="A30" t="s">
        <v>120</v>
      </c>
      <c r="B30">
        <v>71717</v>
      </c>
      <c r="C30" s="5">
        <v>0.62638888888888888</v>
      </c>
      <c r="D30" s="7" t="s">
        <v>106</v>
      </c>
      <c r="E30" s="7" t="s">
        <v>106</v>
      </c>
      <c r="F30">
        <v>2</v>
      </c>
      <c r="G30">
        <v>3.66</v>
      </c>
      <c r="H30">
        <v>-5.25</v>
      </c>
      <c r="I30">
        <f t="shared" si="0"/>
        <v>-0.33489592430805271</v>
      </c>
      <c r="J30">
        <f t="shared" si="1"/>
        <v>3.6446460349232623</v>
      </c>
      <c r="K30">
        <f t="shared" si="2"/>
        <v>-9.1887091667902918E-2</v>
      </c>
      <c r="L30" s="7" t="s">
        <v>178</v>
      </c>
    </row>
    <row r="31" spans="1:14" x14ac:dyDescent="0.2">
      <c r="A31" t="s">
        <v>120</v>
      </c>
      <c r="B31">
        <v>71717</v>
      </c>
      <c r="C31" s="5">
        <v>0.62638888888888888</v>
      </c>
      <c r="D31" s="7" t="s">
        <v>106</v>
      </c>
      <c r="E31" s="7" t="s">
        <v>106</v>
      </c>
      <c r="F31">
        <v>3</v>
      </c>
      <c r="G31">
        <v>4.7</v>
      </c>
      <c r="H31">
        <v>-4</v>
      </c>
      <c r="I31">
        <f t="shared" si="0"/>
        <v>-0.32785542659738892</v>
      </c>
      <c r="J31">
        <f t="shared" si="1"/>
        <v>4.688551036221174</v>
      </c>
      <c r="K31">
        <f t="shared" si="2"/>
        <v>-6.9926811943510414E-2</v>
      </c>
      <c r="L31" s="7" t="s">
        <v>179</v>
      </c>
    </row>
    <row r="32" spans="1:14" x14ac:dyDescent="0.2">
      <c r="A32" s="7" t="s">
        <v>167</v>
      </c>
      <c r="B32">
        <v>72017</v>
      </c>
      <c r="C32" s="7" t="s">
        <v>26</v>
      </c>
      <c r="D32" s="7" t="s">
        <v>169</v>
      </c>
      <c r="E32" s="7" t="s">
        <v>169</v>
      </c>
      <c r="F32">
        <v>1</v>
      </c>
      <c r="G32">
        <v>5.07</v>
      </c>
      <c r="H32">
        <v>-3.25</v>
      </c>
      <c r="I32">
        <f t="shared" si="0"/>
        <v>-0.28743243294632398</v>
      </c>
      <c r="J32">
        <f t="shared" si="1"/>
        <v>5.0618457697257586</v>
      </c>
      <c r="K32">
        <f t="shared" si="2"/>
        <v>-5.6784115127612139E-2</v>
      </c>
      <c r="L32" s="7" t="s">
        <v>170</v>
      </c>
    </row>
    <row r="33" spans="1:14" x14ac:dyDescent="0.2">
      <c r="A33" s="7" t="s">
        <v>167</v>
      </c>
      <c r="B33">
        <v>72017</v>
      </c>
      <c r="C33" s="7" t="s">
        <v>26</v>
      </c>
      <c r="D33" s="7" t="s">
        <v>169</v>
      </c>
      <c r="E33" s="7" t="s">
        <v>169</v>
      </c>
      <c r="F33">
        <v>2</v>
      </c>
      <c r="G33">
        <v>6.37</v>
      </c>
      <c r="H33">
        <v>-3.75</v>
      </c>
      <c r="I33">
        <f t="shared" si="0"/>
        <v>-0.41661793319601131</v>
      </c>
      <c r="J33">
        <f t="shared" si="1"/>
        <v>6.3563613410299045</v>
      </c>
      <c r="K33">
        <f t="shared" si="2"/>
        <v>-6.5543462815238221E-2</v>
      </c>
      <c r="L33" s="7" t="s">
        <v>171</v>
      </c>
      <c r="N33" s="7" t="s">
        <v>173</v>
      </c>
    </row>
    <row r="34" spans="1:14" x14ac:dyDescent="0.2">
      <c r="A34" s="7" t="s">
        <v>167</v>
      </c>
      <c r="B34">
        <v>72017</v>
      </c>
      <c r="C34" s="7" t="s">
        <v>26</v>
      </c>
      <c r="D34" s="7" t="s">
        <v>169</v>
      </c>
      <c r="E34" s="7" t="s">
        <v>169</v>
      </c>
      <c r="F34">
        <v>3</v>
      </c>
      <c r="G34">
        <v>6.44</v>
      </c>
      <c r="H34">
        <v>-2.75</v>
      </c>
      <c r="I34">
        <f t="shared" si="0"/>
        <v>-0.30897914767745499</v>
      </c>
      <c r="J34">
        <f t="shared" si="1"/>
        <v>6.4325836089630828</v>
      </c>
      <c r="K34">
        <f t="shared" si="2"/>
        <v>-4.8033444485187454E-2</v>
      </c>
      <c r="L34" s="7" t="s">
        <v>172</v>
      </c>
    </row>
    <row r="35" spans="1:14" x14ac:dyDescent="0.2">
      <c r="A35" s="7" t="s">
        <v>166</v>
      </c>
      <c r="B35">
        <v>72017</v>
      </c>
      <c r="C35" s="5">
        <v>0.47222222222222227</v>
      </c>
      <c r="D35" s="7" t="s">
        <v>168</v>
      </c>
      <c r="E35" s="7" t="s">
        <v>168</v>
      </c>
      <c r="F35">
        <v>1</v>
      </c>
      <c r="G35">
        <v>6.82</v>
      </c>
      <c r="H35">
        <v>-2.5</v>
      </c>
      <c r="I35">
        <f t="shared" si="0"/>
        <v>-0.29748422183159151</v>
      </c>
      <c r="J35">
        <f t="shared" si="1"/>
        <v>6.8135088711882705</v>
      </c>
      <c r="K35">
        <f t="shared" si="2"/>
        <v>-4.3660942908512058E-2</v>
      </c>
      <c r="L35" s="7" t="s">
        <v>170</v>
      </c>
    </row>
    <row r="36" spans="1:14" x14ac:dyDescent="0.2">
      <c r="A36" s="7" t="s">
        <v>166</v>
      </c>
      <c r="B36">
        <v>72017</v>
      </c>
      <c r="C36" s="5">
        <v>0.47222222222222227</v>
      </c>
      <c r="D36" s="7" t="s">
        <v>168</v>
      </c>
      <c r="E36" s="7" t="s">
        <v>168</v>
      </c>
      <c r="F36">
        <v>2</v>
      </c>
      <c r="G36">
        <v>6.06</v>
      </c>
      <c r="H36">
        <v>-3.5</v>
      </c>
      <c r="I36">
        <f t="shared" si="0"/>
        <v>-0.36995414958123263</v>
      </c>
      <c r="J36">
        <f t="shared" si="1"/>
        <v>6.0486968784365134</v>
      </c>
      <c r="K36">
        <f t="shared" si="2"/>
        <v>-6.1162620150484306E-2</v>
      </c>
      <c r="L36" s="7" t="s">
        <v>171</v>
      </c>
    </row>
    <row r="37" spans="1:14" x14ac:dyDescent="0.2">
      <c r="A37" s="7" t="s">
        <v>166</v>
      </c>
      <c r="B37">
        <v>72017</v>
      </c>
      <c r="C37" s="5">
        <v>0.47222222222222227</v>
      </c>
      <c r="D37" s="7" t="s">
        <v>168</v>
      </c>
      <c r="E37" s="7" t="s">
        <v>168</v>
      </c>
      <c r="F37">
        <v>3</v>
      </c>
      <c r="G37">
        <v>5.13</v>
      </c>
      <c r="H37">
        <v>-3.4</v>
      </c>
      <c r="I37">
        <f t="shared" si="0"/>
        <v>-0.30424169644468313</v>
      </c>
      <c r="J37">
        <f t="shared" si="1"/>
        <v>5.1209703172489158</v>
      </c>
      <c r="K37">
        <f t="shared" si="2"/>
        <v>-5.9410947066009877E-2</v>
      </c>
      <c r="L37" s="7" t="s">
        <v>172</v>
      </c>
      <c r="N37" s="7" t="s">
        <v>394</v>
      </c>
    </row>
    <row r="38" spans="1:14" x14ac:dyDescent="0.2">
      <c r="A38" s="7" t="s">
        <v>164</v>
      </c>
      <c r="B38">
        <v>72017</v>
      </c>
      <c r="C38" s="5">
        <v>0.5180555555555556</v>
      </c>
      <c r="D38" s="7" t="s">
        <v>183</v>
      </c>
      <c r="E38" s="7" t="s">
        <v>168</v>
      </c>
      <c r="F38">
        <v>1</v>
      </c>
      <c r="G38">
        <v>4.8099999999999996</v>
      </c>
      <c r="H38">
        <v>-4.75</v>
      </c>
      <c r="I38">
        <f t="shared" si="0"/>
        <v>-0.39830747813370287</v>
      </c>
      <c r="J38">
        <f t="shared" si="1"/>
        <v>4.7934800670142321</v>
      </c>
      <c r="K38">
        <f t="shared" si="2"/>
        <v>-8.3093592247229481E-2</v>
      </c>
      <c r="L38" s="7" t="s">
        <v>170</v>
      </c>
      <c r="N38" s="7" t="s">
        <v>175</v>
      </c>
    </row>
    <row r="39" spans="1:14" x14ac:dyDescent="0.2">
      <c r="A39" s="7" t="s">
        <v>164</v>
      </c>
      <c r="B39">
        <v>72017</v>
      </c>
      <c r="C39" s="5">
        <v>0.5180555555555556</v>
      </c>
      <c r="D39" s="7" t="s">
        <v>183</v>
      </c>
      <c r="E39" s="7" t="s">
        <v>168</v>
      </c>
      <c r="F39">
        <v>2</v>
      </c>
      <c r="G39">
        <v>4</v>
      </c>
      <c r="H39">
        <v>-3</v>
      </c>
      <c r="I39">
        <f t="shared" si="0"/>
        <v>-0.20934382497177534</v>
      </c>
      <c r="J39">
        <f t="shared" si="1"/>
        <v>3.9945181390182953</v>
      </c>
      <c r="K39">
        <f t="shared" si="2"/>
        <v>-5.240777928304121E-2</v>
      </c>
      <c r="L39" s="7" t="s">
        <v>171</v>
      </c>
    </row>
    <row r="40" spans="1:14" x14ac:dyDescent="0.2">
      <c r="A40" s="7" t="s">
        <v>164</v>
      </c>
      <c r="B40">
        <v>72017</v>
      </c>
      <c r="C40" s="5">
        <v>0.5180555555555556</v>
      </c>
      <c r="D40" s="7" t="s">
        <v>183</v>
      </c>
      <c r="E40" s="7" t="s">
        <v>168</v>
      </c>
      <c r="F40">
        <v>3</v>
      </c>
      <c r="G40">
        <v>3.46</v>
      </c>
      <c r="H40">
        <v>-3.5</v>
      </c>
      <c r="I40">
        <f t="shared" si="0"/>
        <v>-0.21122794679060478</v>
      </c>
      <c r="J40">
        <f t="shared" si="1"/>
        <v>3.4535464025396596</v>
      </c>
      <c r="K40">
        <f t="shared" si="2"/>
        <v>-6.1162620150484306E-2</v>
      </c>
      <c r="L40" s="7" t="s">
        <v>172</v>
      </c>
      <c r="N40" s="7" t="s">
        <v>174</v>
      </c>
    </row>
    <row r="41" spans="1:14" x14ac:dyDescent="0.2">
      <c r="A41" s="7" t="s">
        <v>163</v>
      </c>
      <c r="B41">
        <v>72017</v>
      </c>
      <c r="C41" s="5">
        <v>0.54583333333333328</v>
      </c>
      <c r="D41" s="7" t="s">
        <v>184</v>
      </c>
      <c r="E41" s="7" t="s">
        <v>176</v>
      </c>
      <c r="F41">
        <v>1</v>
      </c>
      <c r="G41">
        <v>3.17</v>
      </c>
      <c r="H41">
        <v>-3.25</v>
      </c>
      <c r="I41">
        <f t="shared" si="0"/>
        <v>-0.17971613657590671</v>
      </c>
      <c r="J41">
        <f t="shared" si="1"/>
        <v>3.1649015956667954</v>
      </c>
      <c r="K41">
        <f t="shared" si="2"/>
        <v>-5.6784115127612153E-2</v>
      </c>
      <c r="L41" s="7" t="s">
        <v>170</v>
      </c>
      <c r="N41" s="7" t="s">
        <v>175</v>
      </c>
    </row>
    <row r="42" spans="1:14" x14ac:dyDescent="0.2">
      <c r="A42" s="7" t="s">
        <v>163</v>
      </c>
      <c r="B42">
        <v>72017</v>
      </c>
      <c r="C42" s="5">
        <v>0.54583333333333328</v>
      </c>
      <c r="D42" s="7" t="s">
        <v>184</v>
      </c>
      <c r="E42" s="7" t="s">
        <v>176</v>
      </c>
      <c r="F42">
        <v>2</v>
      </c>
      <c r="G42">
        <v>2.1</v>
      </c>
      <c r="H42">
        <v>-3.25</v>
      </c>
      <c r="I42">
        <f t="shared" si="0"/>
        <v>-0.11905485388309278</v>
      </c>
      <c r="J42">
        <f t="shared" si="1"/>
        <v>2.0966225081704324</v>
      </c>
      <c r="K42">
        <f t="shared" si="2"/>
        <v>-5.6784115127612153E-2</v>
      </c>
      <c r="L42" s="7" t="s">
        <v>171</v>
      </c>
    </row>
    <row r="43" spans="1:14" x14ac:dyDescent="0.2">
      <c r="A43" s="7" t="s">
        <v>163</v>
      </c>
      <c r="B43">
        <v>72017</v>
      </c>
      <c r="C43" s="5">
        <v>0.54583333333333328</v>
      </c>
      <c r="D43" s="7" t="s">
        <v>184</v>
      </c>
      <c r="E43" s="7" t="s">
        <v>176</v>
      </c>
      <c r="F43">
        <v>3</v>
      </c>
      <c r="G43">
        <v>2.16</v>
      </c>
      <c r="H43">
        <v>-4.25</v>
      </c>
      <c r="I43">
        <f t="shared" si="0"/>
        <v>-0.16007433882206237</v>
      </c>
      <c r="J43">
        <f t="shared" si="1"/>
        <v>2.1540603998148891</v>
      </c>
      <c r="K43">
        <f t="shared" si="2"/>
        <v>-7.4312836741169605E-2</v>
      </c>
      <c r="L43" s="7" t="s">
        <v>172</v>
      </c>
      <c r="N43" s="7" t="s">
        <v>174</v>
      </c>
    </row>
    <row r="44" spans="1:14" x14ac:dyDescent="0.2">
      <c r="A44" s="7" t="s">
        <v>162</v>
      </c>
      <c r="B44">
        <v>72017</v>
      </c>
      <c r="C44" s="5">
        <v>0.59027777777777779</v>
      </c>
      <c r="D44" s="7" t="s">
        <v>99</v>
      </c>
      <c r="E44" s="7" t="s">
        <v>168</v>
      </c>
      <c r="F44">
        <v>1</v>
      </c>
      <c r="G44">
        <v>2.0699999999999998</v>
      </c>
      <c r="H44">
        <v>-2.75</v>
      </c>
      <c r="I44">
        <f t="shared" si="0"/>
        <v>-9.9314726039181955E-2</v>
      </c>
      <c r="J44">
        <f t="shared" si="1"/>
        <v>2.0676161600238476</v>
      </c>
      <c r="K44">
        <f t="shared" si="2"/>
        <v>-4.8033444485187461E-2</v>
      </c>
      <c r="L44" s="7" t="s">
        <v>177</v>
      </c>
      <c r="N44" s="7" t="s">
        <v>180</v>
      </c>
    </row>
    <row r="45" spans="1:14" x14ac:dyDescent="0.2">
      <c r="A45" s="7" t="s">
        <v>162</v>
      </c>
      <c r="B45">
        <v>72017</v>
      </c>
      <c r="C45" s="5">
        <v>0.59027777777777779</v>
      </c>
      <c r="D45" s="7" t="s">
        <v>99</v>
      </c>
      <c r="E45" s="7" t="s">
        <v>168</v>
      </c>
      <c r="F45">
        <v>2</v>
      </c>
      <c r="G45">
        <v>3.13</v>
      </c>
      <c r="H45">
        <v>0.5</v>
      </c>
      <c r="I45">
        <f t="shared" si="0"/>
        <v>2.7314056109910414E-2</v>
      </c>
      <c r="J45">
        <f t="shared" si="1"/>
        <v>3.129880819190856</v>
      </c>
      <c r="K45">
        <f t="shared" si="2"/>
        <v>8.7268677907587893E-3</v>
      </c>
      <c r="L45" s="7" t="s">
        <v>179</v>
      </c>
    </row>
    <row r="46" spans="1:14" x14ac:dyDescent="0.2">
      <c r="A46" s="7" t="s">
        <v>162</v>
      </c>
      <c r="B46">
        <v>72017</v>
      </c>
      <c r="C46" s="5">
        <v>0.59027777777777779</v>
      </c>
      <c r="D46" s="7" t="s">
        <v>99</v>
      </c>
      <c r="E46" s="7" t="s">
        <v>168</v>
      </c>
      <c r="F46">
        <v>3</v>
      </c>
      <c r="G46">
        <v>4.0999999999999996</v>
      </c>
      <c r="H46">
        <v>-2</v>
      </c>
      <c r="I46">
        <f t="shared" si="0"/>
        <v>-0.14308793648025397</v>
      </c>
      <c r="J46">
        <f t="shared" si="1"/>
        <v>4.0975023907782919</v>
      </c>
      <c r="K46">
        <f t="shared" si="2"/>
        <v>-3.492076949174773E-2</v>
      </c>
      <c r="L46" s="7" t="s">
        <v>178</v>
      </c>
      <c r="N46" s="7" t="s">
        <v>174</v>
      </c>
    </row>
    <row r="47" spans="1:14" x14ac:dyDescent="0.2">
      <c r="A47" s="7" t="s">
        <v>161</v>
      </c>
      <c r="B47">
        <v>72017</v>
      </c>
      <c r="C47" s="5">
        <v>0.60902777777777783</v>
      </c>
      <c r="D47" s="7" t="s">
        <v>184</v>
      </c>
      <c r="E47" s="7" t="s">
        <v>176</v>
      </c>
      <c r="F47">
        <v>1</v>
      </c>
      <c r="G47">
        <v>2.35</v>
      </c>
      <c r="H47">
        <v>-8.25</v>
      </c>
      <c r="I47">
        <f t="shared" si="0"/>
        <v>-0.33720766167927141</v>
      </c>
      <c r="J47">
        <f t="shared" si="1"/>
        <v>2.3256807590262252</v>
      </c>
      <c r="K47">
        <f t="shared" si="2"/>
        <v>-0.14499309949163533</v>
      </c>
      <c r="L47" s="7" t="s">
        <v>170</v>
      </c>
    </row>
    <row r="48" spans="1:14" x14ac:dyDescent="0.2">
      <c r="A48" s="7" t="s">
        <v>161</v>
      </c>
      <c r="B48">
        <v>72017</v>
      </c>
      <c r="C48" s="5">
        <v>0.60902777777777783</v>
      </c>
      <c r="D48" s="7" t="s">
        <v>184</v>
      </c>
      <c r="E48" s="7" t="s">
        <v>176</v>
      </c>
      <c r="F48">
        <v>2</v>
      </c>
      <c r="G48">
        <v>2.93</v>
      </c>
      <c r="H48">
        <v>-2.5</v>
      </c>
      <c r="I48">
        <f t="shared" si="0"/>
        <v>-0.12780480498043448</v>
      </c>
      <c r="J48">
        <f t="shared" si="1"/>
        <v>2.9272112892348434</v>
      </c>
      <c r="K48">
        <f t="shared" si="2"/>
        <v>-4.3660942908512058E-2</v>
      </c>
      <c r="L48" s="7" t="s">
        <v>171</v>
      </c>
    </row>
    <row r="49" spans="1:14" x14ac:dyDescent="0.2">
      <c r="A49" s="7" t="s">
        <v>161</v>
      </c>
      <c r="B49">
        <v>72017</v>
      </c>
      <c r="C49" s="5">
        <v>0.60902777777777783</v>
      </c>
      <c r="D49" s="7" t="s">
        <v>184</v>
      </c>
      <c r="E49" s="7" t="s">
        <v>176</v>
      </c>
      <c r="F49">
        <v>3</v>
      </c>
      <c r="G49">
        <v>1.52</v>
      </c>
      <c r="H49">
        <v>-3.5</v>
      </c>
      <c r="I49">
        <f t="shared" si="0"/>
        <v>-9.2793780092982447E-2</v>
      </c>
      <c r="J49">
        <f t="shared" si="1"/>
        <v>1.5171648936012376</v>
      </c>
      <c r="K49">
        <f t="shared" si="2"/>
        <v>-6.1162620150484313E-2</v>
      </c>
      <c r="L49" s="7" t="s">
        <v>172</v>
      </c>
      <c r="N49" s="7" t="s">
        <v>174</v>
      </c>
    </row>
    <row r="50" spans="1:14" x14ac:dyDescent="0.2">
      <c r="A50" s="7" t="s">
        <v>165</v>
      </c>
      <c r="B50">
        <v>72017</v>
      </c>
      <c r="C50" s="5">
        <v>0.66666666666666663</v>
      </c>
      <c r="D50" s="7" t="s">
        <v>184</v>
      </c>
      <c r="E50" s="7" t="s">
        <v>176</v>
      </c>
      <c r="F50">
        <v>1</v>
      </c>
      <c r="G50">
        <v>4.95</v>
      </c>
      <c r="H50">
        <v>-2.25</v>
      </c>
      <c r="I50">
        <f t="shared" si="0"/>
        <v>-0.19433608800738963</v>
      </c>
      <c r="J50">
        <f t="shared" si="1"/>
        <v>4.9461837293915787</v>
      </c>
      <c r="K50">
        <f t="shared" si="2"/>
        <v>-3.929010700766964E-2</v>
      </c>
      <c r="L50" s="7" t="s">
        <v>170</v>
      </c>
    </row>
    <row r="51" spans="1:14" x14ac:dyDescent="0.2">
      <c r="A51" s="7" t="s">
        <v>165</v>
      </c>
      <c r="B51">
        <v>72017</v>
      </c>
      <c r="C51" s="5">
        <v>0.66666666666666663</v>
      </c>
      <c r="D51" s="7" t="s">
        <v>184</v>
      </c>
      <c r="E51" s="7" t="s">
        <v>176</v>
      </c>
      <c r="F51">
        <v>2</v>
      </c>
      <c r="G51">
        <v>6.07</v>
      </c>
      <c r="H51">
        <v>-2.5</v>
      </c>
      <c r="I51">
        <f t="shared" si="0"/>
        <v>-0.26476968130758954</v>
      </c>
      <c r="J51">
        <f t="shared" si="1"/>
        <v>6.0642227050018773</v>
      </c>
      <c r="K51">
        <f t="shared" si="2"/>
        <v>-4.3660942908512058E-2</v>
      </c>
      <c r="L51" s="7" t="s">
        <v>171</v>
      </c>
    </row>
    <row r="52" spans="1:14" x14ac:dyDescent="0.2">
      <c r="A52" s="7" t="s">
        <v>165</v>
      </c>
      <c r="B52">
        <v>72017</v>
      </c>
      <c r="C52" s="5">
        <v>0.66666666666666663</v>
      </c>
      <c r="D52" s="7" t="s">
        <v>184</v>
      </c>
      <c r="E52" s="7" t="s">
        <v>176</v>
      </c>
      <c r="F52">
        <v>3</v>
      </c>
      <c r="G52">
        <v>4.16</v>
      </c>
      <c r="H52">
        <v>-2.75</v>
      </c>
      <c r="I52">
        <f t="shared" si="0"/>
        <v>-0.19958901464879081</v>
      </c>
      <c r="J52">
        <f t="shared" si="1"/>
        <v>4.155209287777395</v>
      </c>
      <c r="K52">
        <f t="shared" si="2"/>
        <v>-4.8033444485187454E-2</v>
      </c>
      <c r="L52" s="7" t="s">
        <v>172</v>
      </c>
      <c r="N52" s="7" t="s">
        <v>174</v>
      </c>
    </row>
    <row r="53" spans="1:14" x14ac:dyDescent="0.2">
      <c r="A53" s="7" t="s">
        <v>226</v>
      </c>
      <c r="B53">
        <v>72217</v>
      </c>
      <c r="C53" s="5">
        <v>0.44375000000000003</v>
      </c>
      <c r="D53" s="7" t="s">
        <v>99</v>
      </c>
      <c r="E53" s="7" t="s">
        <v>241</v>
      </c>
      <c r="F53">
        <v>1</v>
      </c>
      <c r="G53">
        <v>3.92</v>
      </c>
      <c r="H53">
        <v>-1.75</v>
      </c>
      <c r="I53">
        <f t="shared" si="0"/>
        <v>-0.11971097178250482</v>
      </c>
      <c r="J53">
        <f t="shared" si="1"/>
        <v>3.9181716760799143</v>
      </c>
      <c r="K53">
        <f t="shared" si="2"/>
        <v>-3.0552763298588866E-2</v>
      </c>
      <c r="L53" s="7" t="s">
        <v>179</v>
      </c>
    </row>
    <row r="54" spans="1:14" x14ac:dyDescent="0.2">
      <c r="A54" s="7" t="s">
        <v>226</v>
      </c>
      <c r="B54">
        <v>72217</v>
      </c>
      <c r="C54" s="5">
        <v>0.44375000000000003</v>
      </c>
      <c r="D54" s="7" t="s">
        <v>99</v>
      </c>
      <c r="E54" s="7" t="s">
        <v>241</v>
      </c>
      <c r="F54">
        <v>2</v>
      </c>
      <c r="G54">
        <v>3.9</v>
      </c>
      <c r="H54">
        <v>-2.75</v>
      </c>
      <c r="I54">
        <f t="shared" si="0"/>
        <v>-0.18711470123324137</v>
      </c>
      <c r="J54">
        <f t="shared" si="1"/>
        <v>3.8955087072913077</v>
      </c>
      <c r="K54">
        <f t="shared" si="2"/>
        <v>-4.8033444485187454E-2</v>
      </c>
      <c r="L54" s="7" t="s">
        <v>178</v>
      </c>
    </row>
    <row r="55" spans="1:14" x14ac:dyDescent="0.2">
      <c r="A55" s="7" t="s">
        <v>226</v>
      </c>
      <c r="B55">
        <v>72217</v>
      </c>
      <c r="C55" s="5">
        <v>0.44375000000000003</v>
      </c>
      <c r="D55" s="7" t="s">
        <v>99</v>
      </c>
      <c r="E55" s="7" t="s">
        <v>241</v>
      </c>
      <c r="F55">
        <v>3</v>
      </c>
      <c r="G55">
        <v>3.16</v>
      </c>
      <c r="H55">
        <v>-2</v>
      </c>
      <c r="I55">
        <f t="shared" si="0"/>
        <v>-0.11028240957990307</v>
      </c>
      <c r="J55">
        <f t="shared" si="1"/>
        <v>3.1580750133803428</v>
      </c>
      <c r="K55">
        <f t="shared" si="2"/>
        <v>-3.4920769491747723E-2</v>
      </c>
      <c r="L55" s="7" t="s">
        <v>177</v>
      </c>
      <c r="N55" s="7" t="s">
        <v>174</v>
      </c>
    </row>
    <row r="56" spans="1:14" x14ac:dyDescent="0.2">
      <c r="A56" s="7" t="s">
        <v>228</v>
      </c>
      <c r="B56">
        <v>72217</v>
      </c>
      <c r="C56" s="5">
        <v>0.56944444444444442</v>
      </c>
      <c r="D56" s="7" t="s">
        <v>99</v>
      </c>
      <c r="E56" s="7" t="s">
        <v>168</v>
      </c>
      <c r="F56">
        <v>1</v>
      </c>
      <c r="G56">
        <v>3.77</v>
      </c>
      <c r="H56">
        <v>-4.75</v>
      </c>
      <c r="I56">
        <f t="shared" si="0"/>
        <v>-0.31218694232101035</v>
      </c>
      <c r="J56">
        <f t="shared" si="1"/>
        <v>3.7570519444165607</v>
      </c>
      <c r="K56">
        <f t="shared" si="2"/>
        <v>-8.3093592247229481E-2</v>
      </c>
      <c r="L56" s="7" t="s">
        <v>179</v>
      </c>
    </row>
    <row r="57" spans="1:14" x14ac:dyDescent="0.2">
      <c r="A57" s="7" t="s">
        <v>228</v>
      </c>
      <c r="B57">
        <v>72217</v>
      </c>
      <c r="C57" s="5">
        <v>0.56944444444444442</v>
      </c>
      <c r="D57" s="7" t="s">
        <v>99</v>
      </c>
      <c r="E57" s="7" t="s">
        <v>168</v>
      </c>
      <c r="F57">
        <v>2</v>
      </c>
      <c r="G57">
        <v>4.07</v>
      </c>
      <c r="H57">
        <v>-2</v>
      </c>
      <c r="I57">
        <f t="shared" si="0"/>
        <v>-0.14204095157917895</v>
      </c>
      <c r="J57">
        <f t="shared" si="1"/>
        <v>4.0675206659677201</v>
      </c>
      <c r="K57">
        <f t="shared" si="2"/>
        <v>-3.4920769491747723E-2</v>
      </c>
      <c r="L57" s="7" t="s">
        <v>178</v>
      </c>
    </row>
    <row r="58" spans="1:14" x14ac:dyDescent="0.2">
      <c r="A58" s="7" t="s">
        <v>228</v>
      </c>
      <c r="B58">
        <v>72217</v>
      </c>
      <c r="C58" s="5">
        <v>0.56944444444444442</v>
      </c>
      <c r="D58" s="7" t="s">
        <v>99</v>
      </c>
      <c r="E58" s="7" t="s">
        <v>168</v>
      </c>
      <c r="F58">
        <v>3</v>
      </c>
      <c r="G58">
        <v>2.2599999999999998</v>
      </c>
      <c r="H58">
        <v>-2.25</v>
      </c>
      <c r="I58">
        <f t="shared" si="0"/>
        <v>-8.8727183615495045E-2</v>
      </c>
      <c r="J58">
        <f t="shared" si="1"/>
        <v>2.2582576219040336</v>
      </c>
      <c r="K58">
        <f t="shared" si="2"/>
        <v>-3.929010700766964E-2</v>
      </c>
      <c r="L58" s="7" t="s">
        <v>177</v>
      </c>
      <c r="N58" s="7" t="s">
        <v>174</v>
      </c>
    </row>
    <row r="59" spans="1:14" x14ac:dyDescent="0.2">
      <c r="A59" s="7" t="s">
        <v>229</v>
      </c>
      <c r="B59">
        <v>72217</v>
      </c>
      <c r="C59" s="5">
        <v>0.59791666666666665</v>
      </c>
      <c r="D59" s="7" t="s">
        <v>99</v>
      </c>
      <c r="E59" s="7" t="s">
        <v>168</v>
      </c>
      <c r="F59">
        <v>1</v>
      </c>
      <c r="G59">
        <v>4.4000000000000004</v>
      </c>
      <c r="H59">
        <v>-2.5</v>
      </c>
      <c r="I59">
        <f t="shared" si="0"/>
        <v>-0.1919253044074784</v>
      </c>
      <c r="J59">
        <f t="shared" si="1"/>
        <v>4.3958121749601746</v>
      </c>
      <c r="K59">
        <f t="shared" si="2"/>
        <v>-4.3660942908512058E-2</v>
      </c>
      <c r="L59" s="7" t="s">
        <v>179</v>
      </c>
    </row>
    <row r="60" spans="1:14" x14ac:dyDescent="0.2">
      <c r="A60" s="7" t="s">
        <v>229</v>
      </c>
      <c r="B60">
        <v>72217</v>
      </c>
      <c r="C60" s="5">
        <v>0.59791666666666665</v>
      </c>
      <c r="D60" s="7" t="s">
        <v>99</v>
      </c>
      <c r="E60" s="7" t="s">
        <v>168</v>
      </c>
      <c r="F60">
        <v>2</v>
      </c>
      <c r="G60">
        <v>3.91</v>
      </c>
      <c r="H60">
        <v>-3</v>
      </c>
      <c r="I60">
        <f t="shared" si="0"/>
        <v>-0.2046335889099104</v>
      </c>
      <c r="J60">
        <f t="shared" si="1"/>
        <v>3.9046414808903838</v>
      </c>
      <c r="K60">
        <f t="shared" si="2"/>
        <v>-5.240777928304121E-2</v>
      </c>
      <c r="L60" s="7" t="s">
        <v>178</v>
      </c>
    </row>
    <row r="61" spans="1:14" x14ac:dyDescent="0.2">
      <c r="A61" s="7" t="s">
        <v>229</v>
      </c>
      <c r="B61">
        <v>72217</v>
      </c>
      <c r="C61" s="5">
        <v>0.59791666666666665</v>
      </c>
      <c r="D61" s="7" t="s">
        <v>99</v>
      </c>
      <c r="E61" s="7" t="s">
        <v>168</v>
      </c>
      <c r="F61">
        <v>3</v>
      </c>
      <c r="G61">
        <v>2.96</v>
      </c>
      <c r="H61">
        <v>-5.75</v>
      </c>
      <c r="I61">
        <f t="shared" si="0"/>
        <v>-0.29655666237174583</v>
      </c>
      <c r="J61">
        <f t="shared" si="1"/>
        <v>2.9451068140226986</v>
      </c>
      <c r="K61">
        <f t="shared" si="2"/>
        <v>-0.10069470518343658</v>
      </c>
      <c r="L61" s="7" t="s">
        <v>177</v>
      </c>
      <c r="N61" s="7" t="s">
        <v>174</v>
      </c>
    </row>
    <row r="62" spans="1:14" x14ac:dyDescent="0.2">
      <c r="A62" s="7" t="s">
        <v>230</v>
      </c>
      <c r="B62">
        <v>72217</v>
      </c>
      <c r="C62" s="5">
        <v>0.64583333333333337</v>
      </c>
      <c r="D62" s="7" t="s">
        <v>216</v>
      </c>
      <c r="E62" s="7" t="s">
        <v>176</v>
      </c>
      <c r="F62">
        <v>1</v>
      </c>
      <c r="G62">
        <v>4.0199999999999996</v>
      </c>
      <c r="H62">
        <v>0</v>
      </c>
      <c r="I62">
        <f t="shared" si="0"/>
        <v>0</v>
      </c>
      <c r="J62">
        <f t="shared" si="1"/>
        <v>4.0199999999999996</v>
      </c>
      <c r="K62">
        <f t="shared" si="2"/>
        <v>0</v>
      </c>
      <c r="L62" s="7" t="s">
        <v>179</v>
      </c>
    </row>
    <row r="63" spans="1:14" x14ac:dyDescent="0.2">
      <c r="A63" s="7" t="s">
        <v>230</v>
      </c>
      <c r="B63">
        <v>72217</v>
      </c>
      <c r="C63" s="5">
        <v>0.64583333333333337</v>
      </c>
      <c r="D63" s="7" t="s">
        <v>216</v>
      </c>
      <c r="E63" s="7" t="s">
        <v>176</v>
      </c>
      <c r="F63">
        <v>2</v>
      </c>
      <c r="G63">
        <v>3.88</v>
      </c>
      <c r="H63">
        <v>-2</v>
      </c>
      <c r="I63">
        <f t="shared" si="0"/>
        <v>-0.13541004720570377</v>
      </c>
      <c r="J63">
        <f t="shared" si="1"/>
        <v>3.8776364088340913</v>
      </c>
      <c r="K63">
        <f t="shared" si="2"/>
        <v>-3.492076949174773E-2</v>
      </c>
      <c r="L63" s="7" t="s">
        <v>178</v>
      </c>
    </row>
    <row r="64" spans="1:14" x14ac:dyDescent="0.2">
      <c r="A64" s="7" t="s">
        <v>230</v>
      </c>
      <c r="B64">
        <v>72217</v>
      </c>
      <c r="C64" s="5">
        <v>0.64583333333333337</v>
      </c>
      <c r="D64" s="7" t="s">
        <v>216</v>
      </c>
      <c r="E64" s="7" t="s">
        <v>176</v>
      </c>
      <c r="F64">
        <v>3</v>
      </c>
      <c r="G64">
        <v>3.69</v>
      </c>
      <c r="H64">
        <v>-0.75</v>
      </c>
      <c r="I64">
        <f t="shared" si="0"/>
        <v>-4.830060765826099E-2</v>
      </c>
      <c r="J64">
        <f t="shared" si="1"/>
        <v>3.689683868748086</v>
      </c>
      <c r="K64">
        <f t="shared" si="2"/>
        <v>-1.3090717084835087E-2</v>
      </c>
      <c r="L64" s="7" t="s">
        <v>177</v>
      </c>
      <c r="N64" s="7" t="s">
        <v>174</v>
      </c>
    </row>
    <row r="65" spans="1:16" x14ac:dyDescent="0.2">
      <c r="A65" s="7" t="s">
        <v>231</v>
      </c>
      <c r="B65">
        <v>72217</v>
      </c>
      <c r="C65" s="5">
        <v>0.68611111111111101</v>
      </c>
      <c r="D65" s="7" t="s">
        <v>99</v>
      </c>
      <c r="E65" s="7" t="s">
        <v>176</v>
      </c>
      <c r="F65">
        <v>1</v>
      </c>
      <c r="G65">
        <v>3.43</v>
      </c>
      <c r="H65">
        <v>-4.5</v>
      </c>
      <c r="I65">
        <f t="shared" si="0"/>
        <v>-0.2691146983465082</v>
      </c>
      <c r="J65">
        <f t="shared" si="1"/>
        <v>3.4194264547046291</v>
      </c>
      <c r="K65">
        <f t="shared" si="2"/>
        <v>-7.8701706824618453E-2</v>
      </c>
      <c r="L65" s="7" t="s">
        <v>179</v>
      </c>
    </row>
    <row r="66" spans="1:16" x14ac:dyDescent="0.2">
      <c r="A66" s="7" t="s">
        <v>231</v>
      </c>
      <c r="B66">
        <v>72217</v>
      </c>
      <c r="C66" s="5">
        <v>0.68611111111111101</v>
      </c>
      <c r="D66" s="7" t="s">
        <v>99</v>
      </c>
      <c r="E66" s="7" t="s">
        <v>176</v>
      </c>
      <c r="F66">
        <v>2</v>
      </c>
      <c r="G66">
        <v>3.46</v>
      </c>
      <c r="H66">
        <v>-1.75</v>
      </c>
      <c r="I66">
        <f t="shared" si="0"/>
        <v>-0.10566325570598641</v>
      </c>
      <c r="J66">
        <f t="shared" si="1"/>
        <v>3.4583862242950265</v>
      </c>
      <c r="K66">
        <f t="shared" si="2"/>
        <v>-3.0552763298588866E-2</v>
      </c>
      <c r="L66" s="7" t="s">
        <v>178</v>
      </c>
    </row>
    <row r="67" spans="1:16" x14ac:dyDescent="0.2">
      <c r="A67" s="7" t="s">
        <v>231</v>
      </c>
      <c r="B67">
        <v>72217</v>
      </c>
      <c r="C67" s="5">
        <v>0.68611111111111101</v>
      </c>
      <c r="D67" s="7" t="s">
        <v>99</v>
      </c>
      <c r="E67" s="7" t="s">
        <v>176</v>
      </c>
      <c r="F67">
        <v>3</v>
      </c>
      <c r="G67">
        <v>2.84</v>
      </c>
      <c r="H67">
        <v>-1.25</v>
      </c>
      <c r="I67">
        <f t="shared" ref="I67:I103" si="3">G67*SIN(RADIANS(H67))</f>
        <v>-6.1954273498153578E-2</v>
      </c>
      <c r="J67">
        <f t="shared" ref="J67:J103" si="4">G67*COS(RADIANS(H67))</f>
        <v>2.8393241569069416</v>
      </c>
      <c r="K67">
        <f t="shared" ref="K67:K103" si="5">I67/J67</f>
        <v>-2.1820077622149475E-2</v>
      </c>
      <c r="L67" s="7" t="s">
        <v>177</v>
      </c>
      <c r="N67" s="7" t="s">
        <v>174</v>
      </c>
    </row>
    <row r="68" spans="1:16" x14ac:dyDescent="0.2">
      <c r="A68" s="7" t="s">
        <v>227</v>
      </c>
      <c r="B68">
        <v>72217</v>
      </c>
      <c r="C68" s="5">
        <v>0.5</v>
      </c>
      <c r="D68" s="7" t="s">
        <v>216</v>
      </c>
      <c r="E68" s="7" t="s">
        <v>176</v>
      </c>
      <c r="F68">
        <v>1</v>
      </c>
      <c r="G68">
        <v>3.4</v>
      </c>
      <c r="H68">
        <v>0</v>
      </c>
      <c r="I68">
        <f t="shared" si="3"/>
        <v>0</v>
      </c>
      <c r="J68">
        <f t="shared" si="4"/>
        <v>3.4</v>
      </c>
      <c r="K68">
        <f t="shared" si="5"/>
        <v>0</v>
      </c>
      <c r="L68" s="7" t="s">
        <v>179</v>
      </c>
    </row>
    <row r="69" spans="1:16" x14ac:dyDescent="0.2">
      <c r="A69" s="7" t="s">
        <v>227</v>
      </c>
      <c r="B69">
        <v>72217</v>
      </c>
      <c r="C69" s="5">
        <v>0.5</v>
      </c>
      <c r="D69" s="7" t="s">
        <v>216</v>
      </c>
      <c r="E69" s="7" t="s">
        <v>176</v>
      </c>
      <c r="F69">
        <v>2</v>
      </c>
      <c r="G69">
        <v>3.1</v>
      </c>
      <c r="H69">
        <v>-1</v>
      </c>
      <c r="I69">
        <f t="shared" si="3"/>
        <v>-5.4102459955578885E-2</v>
      </c>
      <c r="J69">
        <f t="shared" si="4"/>
        <v>3.0995278549848129</v>
      </c>
      <c r="K69">
        <f t="shared" si="5"/>
        <v>-1.7455064928217585E-2</v>
      </c>
      <c r="L69" s="7" t="s">
        <v>178</v>
      </c>
    </row>
    <row r="70" spans="1:16" x14ac:dyDescent="0.2">
      <c r="A70" s="7" t="s">
        <v>227</v>
      </c>
      <c r="B70">
        <v>72217</v>
      </c>
      <c r="C70" s="5">
        <v>0.5</v>
      </c>
      <c r="D70" s="7" t="s">
        <v>216</v>
      </c>
      <c r="E70" s="7" t="s">
        <v>176</v>
      </c>
      <c r="F70">
        <v>3</v>
      </c>
      <c r="G70">
        <v>3.19</v>
      </c>
      <c r="H70">
        <v>-2.25</v>
      </c>
      <c r="I70">
        <f t="shared" si="3"/>
        <v>-0.12523881227142886</v>
      </c>
      <c r="J70">
        <f t="shared" si="4"/>
        <v>3.1875406256079062</v>
      </c>
      <c r="K70">
        <f t="shared" si="5"/>
        <v>-3.929010700766964E-2</v>
      </c>
      <c r="L70" s="7" t="s">
        <v>177</v>
      </c>
      <c r="N70" s="7" t="s">
        <v>174</v>
      </c>
    </row>
    <row r="71" spans="1:16" x14ac:dyDescent="0.2">
      <c r="A71" s="7" t="s">
        <v>232</v>
      </c>
      <c r="B71">
        <v>72217</v>
      </c>
      <c r="C71" s="5">
        <v>0.22569444444444445</v>
      </c>
      <c r="D71" s="7" t="s">
        <v>168</v>
      </c>
      <c r="E71" s="7" t="s">
        <v>168</v>
      </c>
      <c r="F71">
        <v>1</v>
      </c>
      <c r="G71">
        <v>4.38</v>
      </c>
      <c r="H71">
        <v>-2</v>
      </c>
      <c r="I71">
        <f t="shared" si="3"/>
        <v>-0.15285979555695425</v>
      </c>
      <c r="J71">
        <f t="shared" si="4"/>
        <v>4.3773318223436393</v>
      </c>
      <c r="K71">
        <f t="shared" si="5"/>
        <v>-3.492076949174773E-2</v>
      </c>
      <c r="L71" s="7" t="s">
        <v>179</v>
      </c>
    </row>
    <row r="72" spans="1:16" x14ac:dyDescent="0.2">
      <c r="A72" s="7" t="s">
        <v>232</v>
      </c>
      <c r="B72">
        <v>72217</v>
      </c>
      <c r="C72" s="5">
        <v>0.22569444444444445</v>
      </c>
      <c r="D72" s="7" t="s">
        <v>168</v>
      </c>
      <c r="E72" s="7" t="s">
        <v>168</v>
      </c>
      <c r="F72">
        <v>2</v>
      </c>
      <c r="G72">
        <v>3.75</v>
      </c>
      <c r="H72">
        <v>-3.25</v>
      </c>
      <c r="I72">
        <f t="shared" si="3"/>
        <v>-0.21259795336266568</v>
      </c>
      <c r="J72">
        <f t="shared" si="4"/>
        <v>3.7439687645900581</v>
      </c>
      <c r="K72">
        <f t="shared" si="5"/>
        <v>-5.6784115127612146E-2</v>
      </c>
      <c r="L72" s="7" t="s">
        <v>178</v>
      </c>
    </row>
    <row r="73" spans="1:16" x14ac:dyDescent="0.2">
      <c r="A73" s="7" t="s">
        <v>232</v>
      </c>
      <c r="B73">
        <v>72217</v>
      </c>
      <c r="C73" s="5">
        <v>0.22569444444444445</v>
      </c>
      <c r="D73" s="7" t="s">
        <v>168</v>
      </c>
      <c r="E73" s="7" t="s">
        <v>168</v>
      </c>
      <c r="F73">
        <v>3</v>
      </c>
      <c r="G73">
        <v>3.11</v>
      </c>
      <c r="H73">
        <v>-3.25</v>
      </c>
      <c r="I73">
        <f t="shared" si="3"/>
        <v>-0.17631456932210407</v>
      </c>
      <c r="J73">
        <f t="shared" si="4"/>
        <v>3.1049980954333547</v>
      </c>
      <c r="K73">
        <f t="shared" si="5"/>
        <v>-5.6784115127612153E-2</v>
      </c>
      <c r="L73" s="7" t="s">
        <v>177</v>
      </c>
      <c r="N73" s="7" t="s">
        <v>174</v>
      </c>
    </row>
    <row r="74" spans="1:16" x14ac:dyDescent="0.2">
      <c r="A74" s="7" t="s">
        <v>280</v>
      </c>
      <c r="B74">
        <v>72917</v>
      </c>
      <c r="C74" s="5">
        <v>0.48888888888888887</v>
      </c>
      <c r="D74" s="7" t="s">
        <v>99</v>
      </c>
      <c r="E74" s="7" t="s">
        <v>176</v>
      </c>
      <c r="F74">
        <v>1</v>
      </c>
      <c r="G74">
        <v>21</v>
      </c>
      <c r="H74">
        <v>-1.5</v>
      </c>
      <c r="I74">
        <f t="shared" si="3"/>
        <v>-0.54971591446533619</v>
      </c>
      <c r="J74">
        <f t="shared" si="4"/>
        <v>20.992803824486703</v>
      </c>
      <c r="K74">
        <f t="shared" si="5"/>
        <v>-2.6185921569186928E-2</v>
      </c>
      <c r="L74" s="7" t="s">
        <v>295</v>
      </c>
      <c r="M74" s="7">
        <v>-5.7</v>
      </c>
      <c r="N74" s="7" t="s">
        <v>174</v>
      </c>
      <c r="O74" s="7" t="s">
        <v>287</v>
      </c>
    </row>
    <row r="75" spans="1:16" x14ac:dyDescent="0.2">
      <c r="A75" s="7" t="s">
        <v>280</v>
      </c>
      <c r="B75">
        <v>72917</v>
      </c>
      <c r="C75" s="5">
        <v>0.48888888888888887</v>
      </c>
      <c r="D75" s="7" t="s">
        <v>99</v>
      </c>
      <c r="E75" s="7" t="s">
        <v>176</v>
      </c>
      <c r="F75">
        <v>2</v>
      </c>
      <c r="G75">
        <v>4.3499999999999996</v>
      </c>
      <c r="H75">
        <v>-9.35</v>
      </c>
      <c r="I75">
        <f t="shared" si="3"/>
        <v>-0.70672254787532063</v>
      </c>
      <c r="J75">
        <f t="shared" si="4"/>
        <v>4.2922072690312394</v>
      </c>
      <c r="K75">
        <f t="shared" si="5"/>
        <v>-0.16465247449124923</v>
      </c>
      <c r="L75" s="7" t="s">
        <v>178</v>
      </c>
      <c r="M75" s="7">
        <v>-6.2</v>
      </c>
    </row>
    <row r="76" spans="1:16" x14ac:dyDescent="0.2">
      <c r="A76" s="7" t="s">
        <v>280</v>
      </c>
      <c r="B76">
        <v>72917</v>
      </c>
      <c r="C76" s="5">
        <v>0.48888888888888887</v>
      </c>
      <c r="D76" s="7" t="s">
        <v>99</v>
      </c>
      <c r="E76" s="7" t="s">
        <v>176</v>
      </c>
      <c r="F76">
        <v>3</v>
      </c>
      <c r="G76">
        <v>7.3</v>
      </c>
      <c r="H76">
        <v>-1.5</v>
      </c>
      <c r="I76">
        <f t="shared" si="3"/>
        <v>-0.19109172264747401</v>
      </c>
      <c r="J76">
        <f t="shared" si="4"/>
        <v>7.2974984723215677</v>
      </c>
      <c r="K76">
        <f t="shared" si="5"/>
        <v>-2.6185921569186931E-2</v>
      </c>
      <c r="L76" s="7" t="s">
        <v>179</v>
      </c>
      <c r="M76" s="7">
        <v>-5.3</v>
      </c>
    </row>
    <row r="77" spans="1:16" x14ac:dyDescent="0.2">
      <c r="A77" s="7" t="s">
        <v>281</v>
      </c>
      <c r="B77">
        <v>72917</v>
      </c>
      <c r="C77" s="5">
        <v>0.57013888888888886</v>
      </c>
      <c r="D77" s="7" t="s">
        <v>99</v>
      </c>
      <c r="E77" s="7" t="s">
        <v>176</v>
      </c>
      <c r="F77">
        <v>1</v>
      </c>
      <c r="G77">
        <v>5.0599999999999996</v>
      </c>
      <c r="H77">
        <v>-2</v>
      </c>
      <c r="I77">
        <f t="shared" si="3"/>
        <v>-0.17659145331465489</v>
      </c>
      <c r="J77">
        <f t="shared" si="4"/>
        <v>5.0569175847166239</v>
      </c>
      <c r="K77">
        <f t="shared" si="5"/>
        <v>-3.492076949174773E-2</v>
      </c>
      <c r="L77" s="7" t="s">
        <v>177</v>
      </c>
      <c r="M77" s="7">
        <v>-6.6</v>
      </c>
      <c r="N77" s="7" t="s">
        <v>174</v>
      </c>
      <c r="O77" s="7" t="s">
        <v>288</v>
      </c>
      <c r="P77" s="7"/>
    </row>
    <row r="78" spans="1:16" x14ac:dyDescent="0.2">
      <c r="A78" s="7" t="s">
        <v>281</v>
      </c>
      <c r="B78">
        <v>72917</v>
      </c>
      <c r="C78" s="5">
        <v>0.57013888888888886</v>
      </c>
      <c r="D78" s="7" t="s">
        <v>99</v>
      </c>
      <c r="E78" s="7" t="s">
        <v>176</v>
      </c>
      <c r="F78">
        <v>2</v>
      </c>
      <c r="G78">
        <v>4.3600000000000003</v>
      </c>
      <c r="H78">
        <v>-4</v>
      </c>
      <c r="I78">
        <f t="shared" si="3"/>
        <v>-0.30413822552438635</v>
      </c>
      <c r="J78">
        <f t="shared" si="4"/>
        <v>4.3493792591328342</v>
      </c>
      <c r="K78">
        <f t="shared" si="5"/>
        <v>-6.9926811943510414E-2</v>
      </c>
      <c r="L78" s="7" t="s">
        <v>178</v>
      </c>
      <c r="M78" s="7">
        <v>-10</v>
      </c>
    </row>
    <row r="79" spans="1:16" x14ac:dyDescent="0.2">
      <c r="A79" s="7" t="s">
        <v>281</v>
      </c>
      <c r="B79">
        <v>72917</v>
      </c>
      <c r="C79" s="5">
        <v>0.57013888888888886</v>
      </c>
      <c r="D79" s="7" t="s">
        <v>99</v>
      </c>
      <c r="E79" s="7" t="s">
        <v>176</v>
      </c>
      <c r="F79">
        <v>3</v>
      </c>
      <c r="G79">
        <v>0.38</v>
      </c>
      <c r="H79">
        <v>-3.6</v>
      </c>
      <c r="I79">
        <f t="shared" si="3"/>
        <v>-2.3860397421139084E-2</v>
      </c>
      <c r="J79">
        <f t="shared" si="4"/>
        <v>0.37925015680274321</v>
      </c>
      <c r="K79">
        <f t="shared" si="5"/>
        <v>-6.2914667253649761E-2</v>
      </c>
      <c r="L79" s="7" t="s">
        <v>179</v>
      </c>
      <c r="M79" s="7">
        <v>-7.1</v>
      </c>
    </row>
    <row r="80" spans="1:16" x14ac:dyDescent="0.2">
      <c r="A80" s="7" t="s">
        <v>282</v>
      </c>
      <c r="B80">
        <v>73017</v>
      </c>
      <c r="C80" s="5">
        <v>0.51944444444444449</v>
      </c>
      <c r="D80" s="7" t="s">
        <v>99</v>
      </c>
      <c r="E80" s="7" t="s">
        <v>168</v>
      </c>
      <c r="F80">
        <v>1</v>
      </c>
      <c r="G80">
        <v>3.4</v>
      </c>
      <c r="H80">
        <v>-6</v>
      </c>
      <c r="I80">
        <f t="shared" si="3"/>
        <v>-0.35539677511002177</v>
      </c>
      <c r="J80">
        <f t="shared" si="4"/>
        <v>3.381374444252129</v>
      </c>
      <c r="K80">
        <f t="shared" si="5"/>
        <v>-0.10510423526567646</v>
      </c>
      <c r="L80" s="7" t="s">
        <v>177</v>
      </c>
      <c r="M80" s="7">
        <v>-5.3</v>
      </c>
      <c r="N80" s="7" t="s">
        <v>174</v>
      </c>
    </row>
    <row r="81" spans="1:14" x14ac:dyDescent="0.2">
      <c r="A81" s="7" t="s">
        <v>282</v>
      </c>
      <c r="B81">
        <v>73017</v>
      </c>
      <c r="C81" s="5">
        <v>0.51944444444444449</v>
      </c>
      <c r="D81" s="7" t="s">
        <v>99</v>
      </c>
      <c r="E81" s="7" t="s">
        <v>168</v>
      </c>
      <c r="F81">
        <v>2</v>
      </c>
      <c r="G81">
        <v>4.08</v>
      </c>
      <c r="H81">
        <v>-4</v>
      </c>
      <c r="I81">
        <f t="shared" si="3"/>
        <v>-0.28460641287603122</v>
      </c>
      <c r="J81">
        <f t="shared" si="4"/>
        <v>4.0700613250600828</v>
      </c>
      <c r="K81">
        <f t="shared" si="5"/>
        <v>-6.9926811943510414E-2</v>
      </c>
      <c r="L81" s="7" t="s">
        <v>178</v>
      </c>
      <c r="M81" s="7">
        <v>-4</v>
      </c>
    </row>
    <row r="82" spans="1:14" x14ac:dyDescent="0.2">
      <c r="A82" s="7" t="s">
        <v>282</v>
      </c>
      <c r="B82">
        <v>73017</v>
      </c>
      <c r="C82" s="5">
        <v>0.51944444444444449</v>
      </c>
      <c r="D82" s="7" t="s">
        <v>99</v>
      </c>
      <c r="E82" s="7" t="s">
        <v>168</v>
      </c>
      <c r="F82">
        <v>3</v>
      </c>
      <c r="G82">
        <v>2.8</v>
      </c>
      <c r="H82">
        <v>-5.5</v>
      </c>
      <c r="I82">
        <f t="shared" si="3"/>
        <v>-0.26836810705662711</v>
      </c>
      <c r="J82">
        <f t="shared" si="4"/>
        <v>2.7871093554281008</v>
      </c>
      <c r="K82">
        <f t="shared" si="5"/>
        <v>-9.6289048197538585E-2</v>
      </c>
      <c r="L82" s="7" t="s">
        <v>179</v>
      </c>
      <c r="M82" s="7">
        <v>-3.7</v>
      </c>
    </row>
    <row r="83" spans="1:14" x14ac:dyDescent="0.2">
      <c r="A83" s="7" t="s">
        <v>283</v>
      </c>
      <c r="B83">
        <v>73017</v>
      </c>
      <c r="C83" s="5">
        <v>0.61527777777777781</v>
      </c>
      <c r="D83" s="7" t="s">
        <v>216</v>
      </c>
      <c r="E83" s="7" t="s">
        <v>168</v>
      </c>
      <c r="F83">
        <v>1</v>
      </c>
      <c r="G83">
        <v>2.13</v>
      </c>
      <c r="H83">
        <v>-1.5</v>
      </c>
      <c r="I83">
        <f t="shared" si="3"/>
        <v>-5.5756899895769811E-2</v>
      </c>
      <c r="J83">
        <f t="shared" si="4"/>
        <v>2.1292701021979368</v>
      </c>
      <c r="K83">
        <f t="shared" si="5"/>
        <v>-2.6185921569186931E-2</v>
      </c>
      <c r="L83" s="7" t="s">
        <v>177</v>
      </c>
      <c r="M83" s="7">
        <v>-2.6</v>
      </c>
      <c r="N83" s="7" t="s">
        <v>174</v>
      </c>
    </row>
    <row r="84" spans="1:14" x14ac:dyDescent="0.2">
      <c r="A84" s="7" t="s">
        <v>283</v>
      </c>
      <c r="B84">
        <v>73017</v>
      </c>
      <c r="C84" s="5">
        <v>0.61527777777777781</v>
      </c>
      <c r="D84" s="7" t="s">
        <v>216</v>
      </c>
      <c r="E84" s="7" t="s">
        <v>168</v>
      </c>
      <c r="F84">
        <v>2</v>
      </c>
      <c r="G84">
        <v>1.66</v>
      </c>
      <c r="H84">
        <v>-1.5</v>
      </c>
      <c r="I84">
        <f t="shared" si="3"/>
        <v>-4.3453734191069432E-2</v>
      </c>
      <c r="J84">
        <f t="shared" si="4"/>
        <v>1.6594311594594249</v>
      </c>
      <c r="K84">
        <f t="shared" si="5"/>
        <v>-2.6185921569186931E-2</v>
      </c>
      <c r="L84" s="7" t="s">
        <v>178</v>
      </c>
      <c r="M84" s="7">
        <v>-2.4</v>
      </c>
    </row>
    <row r="85" spans="1:14" x14ac:dyDescent="0.2">
      <c r="A85" s="7" t="s">
        <v>283</v>
      </c>
      <c r="B85">
        <v>73017</v>
      </c>
      <c r="C85" s="5">
        <v>0.61527777777777781</v>
      </c>
      <c r="D85" s="7" t="s">
        <v>216</v>
      </c>
      <c r="E85" s="7" t="s">
        <v>168</v>
      </c>
      <c r="F85">
        <v>3</v>
      </c>
      <c r="G85" t="s">
        <v>106</v>
      </c>
      <c r="H85" t="s">
        <v>106</v>
      </c>
      <c r="I85" t="e">
        <f t="shared" si="3"/>
        <v>#VALUE!</v>
      </c>
      <c r="J85" t="e">
        <f t="shared" si="4"/>
        <v>#VALUE!</v>
      </c>
      <c r="K85" t="e">
        <f t="shared" si="5"/>
        <v>#VALUE!</v>
      </c>
      <c r="L85" s="7" t="s">
        <v>106</v>
      </c>
      <c r="M85" s="7" t="s">
        <v>106</v>
      </c>
    </row>
    <row r="86" spans="1:14" x14ac:dyDescent="0.2">
      <c r="A86" s="7" t="s">
        <v>302</v>
      </c>
      <c r="B86">
        <v>80317</v>
      </c>
      <c r="C86" s="5">
        <v>0.46319444444444446</v>
      </c>
      <c r="D86" s="7" t="s">
        <v>316</v>
      </c>
      <c r="E86" s="7" t="s">
        <v>317</v>
      </c>
      <c r="F86">
        <v>1</v>
      </c>
      <c r="G86">
        <v>1.98</v>
      </c>
      <c r="H86">
        <v>-6.5</v>
      </c>
      <c r="I86">
        <f t="shared" si="3"/>
        <v>-0.22414236326045531</v>
      </c>
      <c r="J86">
        <f t="shared" si="4"/>
        <v>1.9672722742396431</v>
      </c>
      <c r="K86">
        <f t="shared" si="5"/>
        <v>-0.11393560830164549</v>
      </c>
      <c r="L86" s="7" t="s">
        <v>177</v>
      </c>
      <c r="M86" s="7">
        <v>-11.7</v>
      </c>
      <c r="N86" s="7" t="s">
        <v>174</v>
      </c>
    </row>
    <row r="87" spans="1:14" x14ac:dyDescent="0.2">
      <c r="A87" s="7" t="s">
        <v>302</v>
      </c>
      <c r="B87">
        <v>80317</v>
      </c>
      <c r="C87" s="5">
        <v>0.46319444444444446</v>
      </c>
      <c r="D87" s="7" t="s">
        <v>316</v>
      </c>
      <c r="E87" s="7" t="s">
        <v>317</v>
      </c>
      <c r="F87">
        <v>2</v>
      </c>
      <c r="G87">
        <v>2.06</v>
      </c>
      <c r="H87">
        <v>-7</v>
      </c>
      <c r="I87">
        <f t="shared" si="3"/>
        <v>-0.25105084741460382</v>
      </c>
      <c r="J87">
        <f t="shared" si="4"/>
        <v>2.0446450723811234</v>
      </c>
      <c r="K87">
        <f t="shared" si="5"/>
        <v>-0.1227845609029046</v>
      </c>
      <c r="L87" s="7" t="s">
        <v>178</v>
      </c>
      <c r="M87" s="7">
        <v>-9.4</v>
      </c>
      <c r="N87" s="7"/>
    </row>
    <row r="88" spans="1:14" x14ac:dyDescent="0.2">
      <c r="A88" s="7" t="s">
        <v>302</v>
      </c>
      <c r="B88">
        <v>80317</v>
      </c>
      <c r="C88" s="5">
        <v>0.46319444444444446</v>
      </c>
      <c r="D88" s="7" t="s">
        <v>316</v>
      </c>
      <c r="E88" s="7" t="s">
        <v>317</v>
      </c>
      <c r="F88">
        <v>3</v>
      </c>
      <c r="G88">
        <v>2.14</v>
      </c>
      <c r="H88">
        <v>-1</v>
      </c>
      <c r="I88">
        <f t="shared" si="3"/>
        <v>-3.7348149775786717E-2</v>
      </c>
      <c r="J88">
        <f t="shared" si="4"/>
        <v>2.1396740676346773</v>
      </c>
      <c r="K88">
        <f t="shared" si="5"/>
        <v>-1.7455064928217585E-2</v>
      </c>
      <c r="L88" s="7" t="s">
        <v>179</v>
      </c>
      <c r="M88" s="7">
        <v>-3.2</v>
      </c>
    </row>
    <row r="89" spans="1:14" x14ac:dyDescent="0.2">
      <c r="A89" t="s">
        <v>363</v>
      </c>
      <c r="B89">
        <v>80317</v>
      </c>
      <c r="C89" s="5">
        <v>0.57361111111111118</v>
      </c>
      <c r="D89" s="7" t="s">
        <v>169</v>
      </c>
      <c r="E89" s="7" t="s">
        <v>169</v>
      </c>
      <c r="F89" s="7">
        <v>1</v>
      </c>
      <c r="G89" s="7">
        <v>3.35</v>
      </c>
      <c r="H89" s="7">
        <v>-3</v>
      </c>
      <c r="I89">
        <f t="shared" si="3"/>
        <v>-0.17532545341386185</v>
      </c>
      <c r="J89">
        <f t="shared" si="4"/>
        <v>3.3454089414278223</v>
      </c>
      <c r="K89">
        <f t="shared" si="5"/>
        <v>-5.240777928304121E-2</v>
      </c>
      <c r="L89" s="7" t="s">
        <v>177</v>
      </c>
      <c r="M89" s="7">
        <v>-6.7</v>
      </c>
      <c r="N89" s="7" t="s">
        <v>174</v>
      </c>
    </row>
    <row r="90" spans="1:14" x14ac:dyDescent="0.2">
      <c r="A90" t="s">
        <v>363</v>
      </c>
      <c r="B90">
        <v>80317</v>
      </c>
      <c r="C90" s="5">
        <v>0.57361111111111118</v>
      </c>
      <c r="D90" s="7" t="s">
        <v>169</v>
      </c>
      <c r="E90" s="7" t="s">
        <v>169</v>
      </c>
      <c r="F90" s="7">
        <v>2</v>
      </c>
      <c r="G90" s="7">
        <v>5.3</v>
      </c>
      <c r="H90" s="7">
        <v>-3</v>
      </c>
      <c r="I90">
        <f t="shared" si="3"/>
        <v>-0.27738056808760231</v>
      </c>
      <c r="J90">
        <f t="shared" si="4"/>
        <v>5.2927365341992409</v>
      </c>
      <c r="K90">
        <f t="shared" si="5"/>
        <v>-5.240777928304121E-2</v>
      </c>
      <c r="L90" s="7" t="s">
        <v>178</v>
      </c>
      <c r="M90" s="7">
        <v>-5.5</v>
      </c>
      <c r="N90" s="7"/>
    </row>
    <row r="91" spans="1:14" x14ac:dyDescent="0.2">
      <c r="A91" t="s">
        <v>363</v>
      </c>
      <c r="B91">
        <v>80317</v>
      </c>
      <c r="C91" s="5">
        <v>0.57361111111111118</v>
      </c>
      <c r="D91" s="7" t="s">
        <v>169</v>
      </c>
      <c r="E91" s="7" t="s">
        <v>169</v>
      </c>
      <c r="F91" s="7">
        <v>3</v>
      </c>
      <c r="G91" s="7">
        <v>13.57</v>
      </c>
      <c r="H91" s="7">
        <v>-2.5</v>
      </c>
      <c r="I91">
        <f t="shared" si="3"/>
        <v>-0.59191508654760949</v>
      </c>
      <c r="J91">
        <f t="shared" si="4"/>
        <v>13.55708436686581</v>
      </c>
      <c r="K91">
        <f t="shared" si="5"/>
        <v>-4.3660942908512058E-2</v>
      </c>
      <c r="L91" s="7" t="s">
        <v>179</v>
      </c>
      <c r="M91" s="7">
        <v>-5.8</v>
      </c>
    </row>
    <row r="92" spans="1:14" x14ac:dyDescent="0.2">
      <c r="A92" s="7" t="s">
        <v>303</v>
      </c>
      <c r="B92">
        <v>80517</v>
      </c>
      <c r="C92" t="s">
        <v>106</v>
      </c>
      <c r="D92" s="7" t="s">
        <v>316</v>
      </c>
      <c r="E92" s="7" t="s">
        <v>317</v>
      </c>
      <c r="F92" s="7">
        <v>1</v>
      </c>
      <c r="G92" s="7">
        <v>1.78</v>
      </c>
      <c r="H92" s="7">
        <v>-3</v>
      </c>
      <c r="I92">
        <f t="shared" si="3"/>
        <v>-9.3158002112440033E-2</v>
      </c>
      <c r="J92">
        <f t="shared" si="4"/>
        <v>1.7775605718631415</v>
      </c>
      <c r="K92">
        <f t="shared" si="5"/>
        <v>-5.240777928304121E-2</v>
      </c>
      <c r="L92" s="7" t="s">
        <v>177</v>
      </c>
      <c r="M92" s="7">
        <v>-7.7</v>
      </c>
      <c r="N92" s="7" t="s">
        <v>174</v>
      </c>
    </row>
    <row r="93" spans="1:14" x14ac:dyDescent="0.2">
      <c r="A93" s="7" t="s">
        <v>303</v>
      </c>
      <c r="B93">
        <v>80517</v>
      </c>
      <c r="C93" t="s">
        <v>106</v>
      </c>
      <c r="D93" s="7" t="s">
        <v>316</v>
      </c>
      <c r="E93" s="7" t="s">
        <v>317</v>
      </c>
      <c r="F93" s="7">
        <v>2</v>
      </c>
      <c r="G93" s="7">
        <v>1.5</v>
      </c>
      <c r="H93" s="7">
        <v>-3</v>
      </c>
      <c r="I93">
        <f t="shared" si="3"/>
        <v>-7.8503934364415745E-2</v>
      </c>
      <c r="J93">
        <f t="shared" si="4"/>
        <v>1.4979443021318608</v>
      </c>
      <c r="K93">
        <f t="shared" si="5"/>
        <v>-5.2407779283041203E-2</v>
      </c>
      <c r="L93" s="7" t="s">
        <v>178</v>
      </c>
      <c r="M93" s="7">
        <v>-8.9</v>
      </c>
      <c r="N93" s="7"/>
    </row>
    <row r="94" spans="1:14" x14ac:dyDescent="0.2">
      <c r="A94" s="7" t="s">
        <v>303</v>
      </c>
      <c r="B94">
        <v>80517</v>
      </c>
      <c r="C94" t="s">
        <v>106</v>
      </c>
      <c r="D94" s="7" t="s">
        <v>316</v>
      </c>
      <c r="E94" s="7" t="s">
        <v>317</v>
      </c>
      <c r="F94" s="7">
        <v>3</v>
      </c>
      <c r="G94" s="7">
        <v>1.21</v>
      </c>
      <c r="H94" s="7">
        <v>-3</v>
      </c>
      <c r="I94">
        <f t="shared" si="3"/>
        <v>-6.3326507053962033E-2</v>
      </c>
      <c r="J94">
        <f t="shared" si="4"/>
        <v>1.2083417370530343</v>
      </c>
      <c r="K94">
        <f t="shared" si="5"/>
        <v>-5.2407779283041203E-2</v>
      </c>
      <c r="L94" s="7" t="s">
        <v>179</v>
      </c>
      <c r="M94" s="7">
        <v>-9.6999999999999993</v>
      </c>
    </row>
    <row r="95" spans="1:14" x14ac:dyDescent="0.2">
      <c r="A95" s="7" t="s">
        <v>304</v>
      </c>
      <c r="B95">
        <v>80517</v>
      </c>
      <c r="C95" t="s">
        <v>106</v>
      </c>
      <c r="D95" s="7" t="s">
        <v>316</v>
      </c>
      <c r="E95" s="7" t="s">
        <v>169</v>
      </c>
      <c r="F95" s="7">
        <v>1</v>
      </c>
      <c r="G95" s="7">
        <v>2.1</v>
      </c>
      <c r="H95" s="7">
        <v>-2.5</v>
      </c>
      <c r="I95">
        <f t="shared" si="3"/>
        <v>-9.1600713467205608E-2</v>
      </c>
      <c r="J95">
        <f t="shared" si="4"/>
        <v>2.0980012653219013</v>
      </c>
      <c r="K95">
        <f t="shared" si="5"/>
        <v>-4.3660942908512065E-2</v>
      </c>
      <c r="L95" s="7" t="s">
        <v>177</v>
      </c>
      <c r="M95" s="7">
        <v>-4</v>
      </c>
      <c r="N95" s="7" t="s">
        <v>174</v>
      </c>
    </row>
    <row r="96" spans="1:14" x14ac:dyDescent="0.2">
      <c r="A96" s="7" t="s">
        <v>304</v>
      </c>
      <c r="B96">
        <v>80517</v>
      </c>
      <c r="C96" t="s">
        <v>106</v>
      </c>
      <c r="D96" s="7" t="s">
        <v>316</v>
      </c>
      <c r="E96" s="7" t="s">
        <v>169</v>
      </c>
      <c r="F96" s="7">
        <v>2</v>
      </c>
      <c r="G96" s="7">
        <v>1.26</v>
      </c>
      <c r="H96" s="7">
        <v>2.5</v>
      </c>
      <c r="I96">
        <f t="shared" si="3"/>
        <v>5.4960428080323358E-2</v>
      </c>
      <c r="J96">
        <f t="shared" si="4"/>
        <v>1.2588007591931409</v>
      </c>
      <c r="K96">
        <f t="shared" si="5"/>
        <v>4.3660942908512052E-2</v>
      </c>
      <c r="L96" s="7" t="s">
        <v>178</v>
      </c>
      <c r="M96" s="7">
        <v>-1.2</v>
      </c>
      <c r="N96" s="7" t="s">
        <v>318</v>
      </c>
    </row>
    <row r="97" spans="1:14" x14ac:dyDescent="0.2">
      <c r="A97" s="7" t="s">
        <v>304</v>
      </c>
      <c r="B97">
        <v>80517</v>
      </c>
      <c r="C97" t="s">
        <v>106</v>
      </c>
      <c r="D97" s="7" t="s">
        <v>316</v>
      </c>
      <c r="E97" s="7" t="s">
        <v>169</v>
      </c>
      <c r="F97" s="7">
        <v>3</v>
      </c>
      <c r="G97" s="7">
        <v>1.46</v>
      </c>
      <c r="H97" s="7">
        <v>-7.5</v>
      </c>
      <c r="I97">
        <f t="shared" si="3"/>
        <v>-0.19056824064127528</v>
      </c>
      <c r="J97">
        <f t="shared" si="4"/>
        <v>1.4475094976057632</v>
      </c>
      <c r="K97">
        <f t="shared" si="5"/>
        <v>-0.13165249758739583</v>
      </c>
      <c r="L97" s="7" t="s">
        <v>179</v>
      </c>
      <c r="M97" s="7">
        <v>-12.9</v>
      </c>
    </row>
    <row r="98" spans="1:14" x14ac:dyDescent="0.2">
      <c r="A98" s="24" t="s">
        <v>321</v>
      </c>
      <c r="B98">
        <v>80917</v>
      </c>
      <c r="C98" t="s">
        <v>106</v>
      </c>
      <c r="D98" s="7" t="s">
        <v>316</v>
      </c>
      <c r="E98" s="7" t="s">
        <v>169</v>
      </c>
      <c r="F98" s="7">
        <v>1</v>
      </c>
      <c r="G98" s="7">
        <v>2.31</v>
      </c>
      <c r="H98" s="7">
        <v>-5.5</v>
      </c>
      <c r="I98">
        <f t="shared" si="3"/>
        <v>-0.22140368832171739</v>
      </c>
      <c r="J98">
        <f t="shared" si="4"/>
        <v>2.2993652182281834</v>
      </c>
      <c r="K98">
        <f t="shared" si="5"/>
        <v>-9.6289048197538585E-2</v>
      </c>
      <c r="L98" s="7" t="s">
        <v>177</v>
      </c>
      <c r="M98" s="7">
        <v>-9.6</v>
      </c>
      <c r="N98" s="7" t="s">
        <v>174</v>
      </c>
    </row>
    <row r="99" spans="1:14" x14ac:dyDescent="0.2">
      <c r="A99" s="24" t="s">
        <v>321</v>
      </c>
      <c r="B99">
        <v>80917</v>
      </c>
      <c r="C99" t="s">
        <v>106</v>
      </c>
      <c r="D99" s="7" t="s">
        <v>316</v>
      </c>
      <c r="E99" s="7" t="s">
        <v>169</v>
      </c>
      <c r="F99" s="7">
        <v>2</v>
      </c>
      <c r="G99" s="7">
        <v>1.98</v>
      </c>
      <c r="H99" s="7">
        <v>-6</v>
      </c>
      <c r="I99">
        <f t="shared" si="3"/>
        <v>-0.20696635726995388</v>
      </c>
      <c r="J99">
        <f t="shared" si="4"/>
        <v>1.9691533528291811</v>
      </c>
      <c r="K99">
        <f t="shared" si="5"/>
        <v>-0.10510423526567647</v>
      </c>
      <c r="L99" s="7" t="s">
        <v>178</v>
      </c>
      <c r="M99" s="7">
        <v>-8.4</v>
      </c>
      <c r="N99" s="7"/>
    </row>
    <row r="100" spans="1:14" x14ac:dyDescent="0.2">
      <c r="A100" s="24" t="s">
        <v>321</v>
      </c>
      <c r="B100">
        <v>80917</v>
      </c>
      <c r="C100" t="s">
        <v>106</v>
      </c>
      <c r="D100" s="7" t="s">
        <v>316</v>
      </c>
      <c r="E100" s="7" t="s">
        <v>169</v>
      </c>
      <c r="F100" s="7">
        <v>3</v>
      </c>
      <c r="G100" s="7">
        <v>1.75</v>
      </c>
      <c r="H100" s="7">
        <v>-2</v>
      </c>
      <c r="I100">
        <f t="shared" si="3"/>
        <v>-6.1074119229376694E-2</v>
      </c>
      <c r="J100">
        <f t="shared" si="4"/>
        <v>1.7489339472834176</v>
      </c>
      <c r="K100">
        <f t="shared" si="5"/>
        <v>-3.4920769491747723E-2</v>
      </c>
      <c r="L100" s="7" t="s">
        <v>179</v>
      </c>
      <c r="M100" s="7">
        <v>-4.2</v>
      </c>
    </row>
    <row r="101" spans="1:14" x14ac:dyDescent="0.2">
      <c r="A101" s="7" t="s">
        <v>326</v>
      </c>
      <c r="B101">
        <v>80917</v>
      </c>
      <c r="C101" t="s">
        <v>106</v>
      </c>
      <c r="D101" s="7" t="s">
        <v>316</v>
      </c>
      <c r="E101" s="7" t="s">
        <v>317</v>
      </c>
      <c r="F101" s="7">
        <v>1</v>
      </c>
      <c r="G101" s="7">
        <v>1.1399999999999999</v>
      </c>
      <c r="H101" s="7">
        <v>-2</v>
      </c>
      <c r="I101">
        <f t="shared" si="3"/>
        <v>-3.9785426240851102E-2</v>
      </c>
      <c r="J101">
        <f t="shared" si="4"/>
        <v>1.1393055428017691</v>
      </c>
      <c r="K101">
        <f t="shared" si="5"/>
        <v>-3.4920769491747723E-2</v>
      </c>
      <c r="L101" s="7" t="s">
        <v>177</v>
      </c>
      <c r="M101" s="7">
        <v>-7</v>
      </c>
      <c r="N101" s="7" t="s">
        <v>174</v>
      </c>
    </row>
    <row r="102" spans="1:14" x14ac:dyDescent="0.2">
      <c r="A102" s="7" t="s">
        <v>326</v>
      </c>
      <c r="B102">
        <v>80917</v>
      </c>
      <c r="C102" t="s">
        <v>106</v>
      </c>
      <c r="D102" s="7" t="s">
        <v>316</v>
      </c>
      <c r="E102" s="7" t="s">
        <v>317</v>
      </c>
      <c r="F102" s="7">
        <v>2</v>
      </c>
      <c r="G102" s="7">
        <v>2.1800000000000002</v>
      </c>
      <c r="H102" s="7">
        <v>-2.5</v>
      </c>
      <c r="I102">
        <f t="shared" si="3"/>
        <v>-9.5090264456432483E-2</v>
      </c>
      <c r="J102">
        <f t="shared" si="4"/>
        <v>2.1779251230484502</v>
      </c>
      <c r="K102">
        <f t="shared" si="5"/>
        <v>-4.3660942908512058E-2</v>
      </c>
      <c r="L102" s="7" t="s">
        <v>178</v>
      </c>
      <c r="M102" s="7">
        <v>-4.5999999999999996</v>
      </c>
      <c r="N102" s="7"/>
    </row>
    <row r="103" spans="1:14" x14ac:dyDescent="0.2">
      <c r="A103" s="7" t="s">
        <v>326</v>
      </c>
      <c r="B103">
        <v>80917</v>
      </c>
      <c r="C103" t="s">
        <v>106</v>
      </c>
      <c r="D103" s="7" t="s">
        <v>316</v>
      </c>
      <c r="E103" s="7" t="s">
        <v>317</v>
      </c>
      <c r="F103" s="7">
        <v>3</v>
      </c>
      <c r="G103" s="7">
        <v>1.7</v>
      </c>
      <c r="H103" s="7">
        <v>-7.5</v>
      </c>
      <c r="I103">
        <f t="shared" si="3"/>
        <v>-0.22189452677408766</v>
      </c>
      <c r="J103">
        <f t="shared" si="4"/>
        <v>1.6854562643354776</v>
      </c>
      <c r="K103">
        <f t="shared" si="5"/>
        <v>-0.13165249758739583</v>
      </c>
      <c r="L103" s="7" t="s">
        <v>179</v>
      </c>
      <c r="M103" s="7">
        <v>-11.6</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04"/>
  <sheetViews>
    <sheetView workbookViewId="0">
      <pane ySplit="1" topLeftCell="A169" activePane="bottomLeft" state="frozen"/>
      <selection pane="bottomLeft" activeCell="F1" sqref="F1:F1048576"/>
    </sheetView>
  </sheetViews>
  <sheetFormatPr defaultRowHeight="12.75" x14ac:dyDescent="0.2"/>
  <cols>
    <col min="5" max="5" width="39.5703125" bestFit="1" customWidth="1"/>
  </cols>
  <sheetData>
    <row r="1" spans="1:7" s="6" customFormat="1" x14ac:dyDescent="0.2">
      <c r="A1" s="6" t="s">
        <v>15</v>
      </c>
      <c r="B1" s="6" t="s">
        <v>32</v>
      </c>
      <c r="C1" s="6" t="s">
        <v>114</v>
      </c>
      <c r="D1" s="6" t="s">
        <v>108</v>
      </c>
      <c r="E1" s="6" t="s">
        <v>109</v>
      </c>
      <c r="F1" s="6" t="s">
        <v>110</v>
      </c>
      <c r="G1" s="6" t="s">
        <v>24</v>
      </c>
    </row>
    <row r="2" spans="1:7" x14ac:dyDescent="0.2">
      <c r="A2" s="7" t="s">
        <v>82</v>
      </c>
      <c r="B2">
        <v>71217</v>
      </c>
      <c r="C2" s="7">
        <v>1</v>
      </c>
      <c r="D2">
        <v>1</v>
      </c>
      <c r="E2" t="s">
        <v>111</v>
      </c>
      <c r="F2">
        <v>22.6</v>
      </c>
    </row>
    <row r="3" spans="1:7" x14ac:dyDescent="0.2">
      <c r="A3" s="7" t="s">
        <v>82</v>
      </c>
      <c r="B3">
        <v>71217</v>
      </c>
      <c r="C3">
        <v>2</v>
      </c>
      <c r="D3">
        <v>1</v>
      </c>
      <c r="E3" t="s">
        <v>111</v>
      </c>
      <c r="F3">
        <v>5.6</v>
      </c>
    </row>
    <row r="4" spans="1:7" x14ac:dyDescent="0.2">
      <c r="A4" s="7" t="s">
        <v>82</v>
      </c>
      <c r="B4">
        <v>71217</v>
      </c>
      <c r="C4">
        <v>3</v>
      </c>
      <c r="D4">
        <v>1</v>
      </c>
      <c r="E4" t="s">
        <v>111</v>
      </c>
      <c r="F4">
        <v>5.6</v>
      </c>
    </row>
    <row r="5" spans="1:7" x14ac:dyDescent="0.2">
      <c r="A5" s="7" t="s">
        <v>82</v>
      </c>
      <c r="B5">
        <v>71217</v>
      </c>
      <c r="C5" s="7">
        <v>4</v>
      </c>
      <c r="D5">
        <v>1</v>
      </c>
      <c r="E5" t="s">
        <v>111</v>
      </c>
      <c r="F5">
        <v>90</v>
      </c>
    </row>
    <row r="6" spans="1:7" x14ac:dyDescent="0.2">
      <c r="A6" s="7" t="s">
        <v>82</v>
      </c>
      <c r="B6">
        <v>71217</v>
      </c>
      <c r="C6">
        <v>5</v>
      </c>
      <c r="D6">
        <v>2</v>
      </c>
      <c r="E6" t="s">
        <v>112</v>
      </c>
      <c r="F6">
        <v>32</v>
      </c>
    </row>
    <row r="7" spans="1:7" x14ac:dyDescent="0.2">
      <c r="A7" s="7" t="s">
        <v>82</v>
      </c>
      <c r="B7">
        <v>71217</v>
      </c>
      <c r="C7">
        <v>6</v>
      </c>
      <c r="D7">
        <v>2</v>
      </c>
      <c r="E7" t="s">
        <v>112</v>
      </c>
      <c r="F7">
        <v>5.6</v>
      </c>
    </row>
    <row r="8" spans="1:7" x14ac:dyDescent="0.2">
      <c r="A8" s="7" t="s">
        <v>82</v>
      </c>
      <c r="B8">
        <v>71217</v>
      </c>
      <c r="C8" s="7">
        <v>7</v>
      </c>
      <c r="D8">
        <v>2</v>
      </c>
      <c r="E8" t="s">
        <v>112</v>
      </c>
      <c r="F8">
        <v>90</v>
      </c>
    </row>
    <row r="9" spans="1:7" x14ac:dyDescent="0.2">
      <c r="A9" s="7" t="s">
        <v>82</v>
      </c>
      <c r="B9">
        <v>71217</v>
      </c>
      <c r="C9">
        <v>8</v>
      </c>
      <c r="D9">
        <v>2</v>
      </c>
      <c r="E9" t="s">
        <v>112</v>
      </c>
      <c r="F9">
        <v>8</v>
      </c>
    </row>
    <row r="10" spans="1:7" x14ac:dyDescent="0.2">
      <c r="A10" s="7" t="s">
        <v>82</v>
      </c>
      <c r="B10">
        <v>71217</v>
      </c>
      <c r="C10">
        <v>9</v>
      </c>
      <c r="D10">
        <v>2</v>
      </c>
      <c r="E10" t="s">
        <v>112</v>
      </c>
      <c r="F10">
        <v>64</v>
      </c>
    </row>
    <row r="11" spans="1:7" x14ac:dyDescent="0.2">
      <c r="A11" s="7" t="s">
        <v>82</v>
      </c>
      <c r="B11">
        <v>71217</v>
      </c>
      <c r="C11" s="7">
        <v>10</v>
      </c>
      <c r="D11">
        <v>3</v>
      </c>
      <c r="E11" t="s">
        <v>112</v>
      </c>
      <c r="F11">
        <v>11</v>
      </c>
    </row>
    <row r="12" spans="1:7" x14ac:dyDescent="0.2">
      <c r="A12" s="7" t="s">
        <v>82</v>
      </c>
      <c r="B12">
        <v>71217</v>
      </c>
      <c r="C12">
        <v>11</v>
      </c>
      <c r="D12">
        <v>3</v>
      </c>
      <c r="E12" t="s">
        <v>112</v>
      </c>
      <c r="F12">
        <v>32</v>
      </c>
    </row>
    <row r="13" spans="1:7" x14ac:dyDescent="0.2">
      <c r="A13" s="7" t="s">
        <v>82</v>
      </c>
      <c r="B13">
        <v>71217</v>
      </c>
      <c r="C13">
        <v>12</v>
      </c>
      <c r="D13">
        <v>3</v>
      </c>
      <c r="E13" t="s">
        <v>112</v>
      </c>
      <c r="F13">
        <v>16</v>
      </c>
    </row>
    <row r="14" spans="1:7" x14ac:dyDescent="0.2">
      <c r="A14" s="7" t="s">
        <v>82</v>
      </c>
      <c r="B14">
        <v>71217</v>
      </c>
      <c r="C14" s="7">
        <v>13</v>
      </c>
      <c r="D14">
        <v>3</v>
      </c>
      <c r="E14" t="s">
        <v>112</v>
      </c>
      <c r="F14">
        <v>32</v>
      </c>
    </row>
    <row r="15" spans="1:7" x14ac:dyDescent="0.2">
      <c r="A15" s="7" t="s">
        <v>82</v>
      </c>
      <c r="B15">
        <v>71217</v>
      </c>
      <c r="C15">
        <v>14</v>
      </c>
      <c r="D15">
        <v>3</v>
      </c>
      <c r="E15" t="s">
        <v>112</v>
      </c>
      <c r="F15">
        <v>45</v>
      </c>
    </row>
    <row r="16" spans="1:7" x14ac:dyDescent="0.2">
      <c r="A16" s="7" t="s">
        <v>82</v>
      </c>
      <c r="B16">
        <v>71217</v>
      </c>
      <c r="C16">
        <v>15</v>
      </c>
      <c r="D16">
        <v>4</v>
      </c>
      <c r="E16" t="s">
        <v>112</v>
      </c>
      <c r="F16">
        <v>32</v>
      </c>
    </row>
    <row r="17" spans="1:6" x14ac:dyDescent="0.2">
      <c r="A17" s="7" t="s">
        <v>82</v>
      </c>
      <c r="B17">
        <v>71217</v>
      </c>
      <c r="C17" s="7">
        <v>16</v>
      </c>
      <c r="D17">
        <v>4</v>
      </c>
      <c r="E17" t="s">
        <v>112</v>
      </c>
      <c r="F17">
        <v>32</v>
      </c>
    </row>
    <row r="18" spans="1:6" x14ac:dyDescent="0.2">
      <c r="A18" s="7" t="s">
        <v>82</v>
      </c>
      <c r="B18">
        <v>71217</v>
      </c>
      <c r="C18">
        <v>17</v>
      </c>
      <c r="D18">
        <v>4</v>
      </c>
      <c r="E18" t="s">
        <v>112</v>
      </c>
      <c r="F18">
        <v>4</v>
      </c>
    </row>
    <row r="19" spans="1:6" x14ac:dyDescent="0.2">
      <c r="A19" s="7" t="s">
        <v>82</v>
      </c>
      <c r="B19">
        <v>71217</v>
      </c>
      <c r="C19">
        <v>18</v>
      </c>
      <c r="D19">
        <v>4</v>
      </c>
      <c r="E19" t="s">
        <v>112</v>
      </c>
      <c r="F19">
        <v>32</v>
      </c>
    </row>
    <row r="20" spans="1:6" x14ac:dyDescent="0.2">
      <c r="A20" s="7" t="s">
        <v>82</v>
      </c>
      <c r="B20">
        <v>71217</v>
      </c>
      <c r="C20" s="7">
        <v>19</v>
      </c>
      <c r="D20">
        <v>5</v>
      </c>
      <c r="E20" t="s">
        <v>112</v>
      </c>
      <c r="F20">
        <v>16</v>
      </c>
    </row>
    <row r="21" spans="1:6" x14ac:dyDescent="0.2">
      <c r="A21" s="7" t="s">
        <v>82</v>
      </c>
      <c r="B21">
        <v>71217</v>
      </c>
      <c r="C21">
        <v>20</v>
      </c>
      <c r="D21">
        <v>5</v>
      </c>
      <c r="E21" t="s">
        <v>112</v>
      </c>
      <c r="F21">
        <v>64</v>
      </c>
    </row>
    <row r="22" spans="1:6" x14ac:dyDescent="0.2">
      <c r="A22" s="7" t="s">
        <v>82</v>
      </c>
      <c r="B22">
        <v>71217</v>
      </c>
      <c r="C22">
        <v>21</v>
      </c>
      <c r="D22">
        <v>5</v>
      </c>
      <c r="E22" t="s">
        <v>112</v>
      </c>
      <c r="F22">
        <v>16</v>
      </c>
    </row>
    <row r="23" spans="1:6" x14ac:dyDescent="0.2">
      <c r="A23" s="7" t="s">
        <v>82</v>
      </c>
      <c r="B23">
        <v>71217</v>
      </c>
      <c r="C23" s="7">
        <v>22</v>
      </c>
      <c r="D23">
        <v>5</v>
      </c>
      <c r="E23" t="s">
        <v>112</v>
      </c>
      <c r="F23">
        <v>16</v>
      </c>
    </row>
    <row r="24" spans="1:6" x14ac:dyDescent="0.2">
      <c r="A24" s="7" t="s">
        <v>82</v>
      </c>
      <c r="B24">
        <v>71217</v>
      </c>
      <c r="C24">
        <v>23</v>
      </c>
      <c r="D24">
        <v>5</v>
      </c>
      <c r="E24" t="s">
        <v>111</v>
      </c>
      <c r="F24">
        <v>11</v>
      </c>
    </row>
    <row r="25" spans="1:6" x14ac:dyDescent="0.2">
      <c r="A25" s="7" t="s">
        <v>82</v>
      </c>
      <c r="B25">
        <v>71217</v>
      </c>
      <c r="C25">
        <v>24</v>
      </c>
      <c r="D25">
        <v>5</v>
      </c>
      <c r="E25" t="s">
        <v>111</v>
      </c>
      <c r="F25">
        <v>22.6</v>
      </c>
    </row>
    <row r="26" spans="1:6" x14ac:dyDescent="0.2">
      <c r="A26" s="7" t="s">
        <v>82</v>
      </c>
      <c r="B26">
        <v>71217</v>
      </c>
      <c r="C26" s="7">
        <v>25</v>
      </c>
      <c r="D26">
        <v>6</v>
      </c>
      <c r="E26" t="s">
        <v>111</v>
      </c>
      <c r="F26">
        <v>22.6</v>
      </c>
    </row>
    <row r="27" spans="1:6" x14ac:dyDescent="0.2">
      <c r="A27" s="7" t="s">
        <v>82</v>
      </c>
      <c r="B27">
        <v>71217</v>
      </c>
      <c r="C27">
        <v>26</v>
      </c>
      <c r="D27">
        <v>6</v>
      </c>
      <c r="E27" t="s">
        <v>113</v>
      </c>
      <c r="F27">
        <v>180</v>
      </c>
    </row>
    <row r="28" spans="1:6" x14ac:dyDescent="0.2">
      <c r="A28" s="7" t="s">
        <v>82</v>
      </c>
      <c r="B28">
        <v>71217</v>
      </c>
      <c r="C28">
        <v>27</v>
      </c>
      <c r="D28">
        <v>6</v>
      </c>
      <c r="E28" t="s">
        <v>113</v>
      </c>
      <c r="F28">
        <v>32</v>
      </c>
    </row>
    <row r="29" spans="1:6" x14ac:dyDescent="0.2">
      <c r="A29" s="7" t="s">
        <v>82</v>
      </c>
      <c r="B29">
        <v>71217</v>
      </c>
      <c r="C29" s="7">
        <v>28</v>
      </c>
      <c r="D29">
        <v>6</v>
      </c>
      <c r="E29" t="s">
        <v>113</v>
      </c>
      <c r="F29">
        <v>22.6</v>
      </c>
    </row>
    <row r="30" spans="1:6" x14ac:dyDescent="0.2">
      <c r="A30" s="7" t="s">
        <v>82</v>
      </c>
      <c r="B30">
        <v>71217</v>
      </c>
      <c r="C30">
        <v>29</v>
      </c>
      <c r="D30">
        <v>6</v>
      </c>
      <c r="E30" t="s">
        <v>113</v>
      </c>
      <c r="F30">
        <v>180</v>
      </c>
    </row>
    <row r="31" spans="1:6" x14ac:dyDescent="0.2">
      <c r="A31" s="7" t="s">
        <v>82</v>
      </c>
      <c r="B31">
        <v>71217</v>
      </c>
      <c r="C31">
        <v>30</v>
      </c>
      <c r="D31">
        <v>6</v>
      </c>
      <c r="E31" t="s">
        <v>113</v>
      </c>
      <c r="F31">
        <v>90</v>
      </c>
    </row>
    <row r="32" spans="1:6" x14ac:dyDescent="0.2">
      <c r="A32" s="7" t="s">
        <v>82</v>
      </c>
      <c r="B32">
        <v>71217</v>
      </c>
      <c r="C32" s="7">
        <v>31</v>
      </c>
      <c r="D32">
        <v>6</v>
      </c>
      <c r="E32" t="s">
        <v>113</v>
      </c>
      <c r="F32">
        <v>128</v>
      </c>
    </row>
    <row r="33" spans="1:6" x14ac:dyDescent="0.2">
      <c r="A33" s="7" t="s">
        <v>82</v>
      </c>
      <c r="B33">
        <v>71217</v>
      </c>
      <c r="C33">
        <v>32</v>
      </c>
      <c r="D33">
        <v>7</v>
      </c>
      <c r="E33" t="s">
        <v>113</v>
      </c>
      <c r="F33">
        <v>32</v>
      </c>
    </row>
    <row r="34" spans="1:6" x14ac:dyDescent="0.2">
      <c r="A34" s="7" t="s">
        <v>82</v>
      </c>
      <c r="B34">
        <v>71217</v>
      </c>
      <c r="C34">
        <v>33</v>
      </c>
      <c r="D34">
        <v>7</v>
      </c>
      <c r="E34" t="s">
        <v>112</v>
      </c>
      <c r="F34">
        <v>180</v>
      </c>
    </row>
    <row r="35" spans="1:6" x14ac:dyDescent="0.2">
      <c r="A35" s="7" t="s">
        <v>82</v>
      </c>
      <c r="B35">
        <v>71217</v>
      </c>
      <c r="C35" s="7">
        <v>34</v>
      </c>
      <c r="D35">
        <v>7</v>
      </c>
      <c r="E35" t="s">
        <v>112</v>
      </c>
      <c r="F35">
        <v>22.6</v>
      </c>
    </row>
    <row r="36" spans="1:6" x14ac:dyDescent="0.2">
      <c r="A36" s="7" t="s">
        <v>82</v>
      </c>
      <c r="B36">
        <v>71217</v>
      </c>
      <c r="C36">
        <v>35</v>
      </c>
      <c r="D36">
        <v>7</v>
      </c>
      <c r="E36" t="s">
        <v>112</v>
      </c>
      <c r="F36">
        <v>64</v>
      </c>
    </row>
    <row r="37" spans="1:6" x14ac:dyDescent="0.2">
      <c r="A37" s="7" t="s">
        <v>82</v>
      </c>
      <c r="B37">
        <v>71217</v>
      </c>
      <c r="C37">
        <v>36</v>
      </c>
      <c r="D37">
        <v>7</v>
      </c>
      <c r="E37" t="s">
        <v>112</v>
      </c>
      <c r="F37">
        <v>11</v>
      </c>
    </row>
    <row r="38" spans="1:6" x14ac:dyDescent="0.2">
      <c r="A38" s="7" t="s">
        <v>82</v>
      </c>
      <c r="B38">
        <v>71217</v>
      </c>
      <c r="C38" s="7">
        <v>37</v>
      </c>
      <c r="D38">
        <v>7</v>
      </c>
      <c r="E38" t="s">
        <v>112</v>
      </c>
      <c r="F38">
        <v>22.6</v>
      </c>
    </row>
    <row r="39" spans="1:6" x14ac:dyDescent="0.2">
      <c r="A39" s="7" t="s">
        <v>82</v>
      </c>
      <c r="B39">
        <v>71217</v>
      </c>
      <c r="C39">
        <v>38</v>
      </c>
      <c r="D39">
        <v>7</v>
      </c>
      <c r="E39" t="s">
        <v>112</v>
      </c>
      <c r="F39">
        <v>22.6</v>
      </c>
    </row>
    <row r="40" spans="1:6" x14ac:dyDescent="0.2">
      <c r="A40" s="7" t="s">
        <v>82</v>
      </c>
      <c r="B40">
        <v>71217</v>
      </c>
      <c r="C40">
        <v>39</v>
      </c>
      <c r="D40">
        <v>8</v>
      </c>
      <c r="E40" t="s">
        <v>112</v>
      </c>
      <c r="F40">
        <v>16</v>
      </c>
    </row>
    <row r="41" spans="1:6" x14ac:dyDescent="0.2">
      <c r="A41" s="7" t="s">
        <v>82</v>
      </c>
      <c r="B41">
        <v>71217</v>
      </c>
      <c r="C41" s="7">
        <v>40</v>
      </c>
      <c r="D41">
        <v>8</v>
      </c>
      <c r="E41" t="s">
        <v>111</v>
      </c>
      <c r="F41">
        <v>45</v>
      </c>
    </row>
    <row r="42" spans="1:6" x14ac:dyDescent="0.2">
      <c r="A42" s="7" t="s">
        <v>82</v>
      </c>
      <c r="B42">
        <v>71217</v>
      </c>
      <c r="C42">
        <v>41</v>
      </c>
      <c r="D42">
        <v>8</v>
      </c>
      <c r="E42" t="s">
        <v>111</v>
      </c>
      <c r="F42">
        <v>64</v>
      </c>
    </row>
    <row r="43" spans="1:6" x14ac:dyDescent="0.2">
      <c r="A43" s="7" t="s">
        <v>82</v>
      </c>
      <c r="B43">
        <v>71217</v>
      </c>
      <c r="C43">
        <v>42</v>
      </c>
      <c r="D43">
        <v>8</v>
      </c>
      <c r="E43" t="s">
        <v>111</v>
      </c>
      <c r="F43">
        <v>64</v>
      </c>
    </row>
    <row r="44" spans="1:6" x14ac:dyDescent="0.2">
      <c r="A44" s="7" t="s">
        <v>82</v>
      </c>
      <c r="B44">
        <v>71217</v>
      </c>
      <c r="C44" s="7">
        <v>43</v>
      </c>
      <c r="D44">
        <v>8</v>
      </c>
      <c r="E44" t="s">
        <v>111</v>
      </c>
      <c r="F44">
        <v>2</v>
      </c>
    </row>
    <row r="45" spans="1:6" x14ac:dyDescent="0.2">
      <c r="A45" s="7" t="s">
        <v>82</v>
      </c>
      <c r="B45">
        <v>71217</v>
      </c>
      <c r="C45">
        <v>44</v>
      </c>
      <c r="D45">
        <v>8</v>
      </c>
      <c r="E45" t="s">
        <v>111</v>
      </c>
      <c r="F45">
        <v>8</v>
      </c>
    </row>
    <row r="46" spans="1:6" x14ac:dyDescent="0.2">
      <c r="A46" s="7" t="s">
        <v>82</v>
      </c>
      <c r="B46">
        <v>71217</v>
      </c>
      <c r="C46">
        <v>45</v>
      </c>
      <c r="D46">
        <v>8</v>
      </c>
      <c r="E46" t="s">
        <v>111</v>
      </c>
      <c r="F46">
        <v>180</v>
      </c>
    </row>
    <row r="47" spans="1:6" x14ac:dyDescent="0.2">
      <c r="A47" s="7" t="s">
        <v>82</v>
      </c>
      <c r="B47">
        <v>71217</v>
      </c>
      <c r="C47" s="7">
        <v>46</v>
      </c>
      <c r="D47">
        <v>9</v>
      </c>
      <c r="E47" t="s">
        <v>111</v>
      </c>
      <c r="F47">
        <v>90</v>
      </c>
    </row>
    <row r="48" spans="1:6" x14ac:dyDescent="0.2">
      <c r="A48" s="7" t="s">
        <v>82</v>
      </c>
      <c r="B48">
        <v>71217</v>
      </c>
      <c r="C48">
        <v>47</v>
      </c>
      <c r="D48">
        <v>9</v>
      </c>
      <c r="E48" t="s">
        <v>113</v>
      </c>
      <c r="F48">
        <v>180</v>
      </c>
    </row>
    <row r="49" spans="1:6" x14ac:dyDescent="0.2">
      <c r="A49" s="7" t="s">
        <v>82</v>
      </c>
      <c r="B49">
        <v>71217</v>
      </c>
      <c r="C49">
        <v>48</v>
      </c>
      <c r="D49">
        <v>9</v>
      </c>
      <c r="E49" t="s">
        <v>112</v>
      </c>
      <c r="F49">
        <v>11</v>
      </c>
    </row>
    <row r="50" spans="1:6" x14ac:dyDescent="0.2">
      <c r="A50" s="7" t="s">
        <v>82</v>
      </c>
      <c r="B50">
        <v>71217</v>
      </c>
      <c r="C50" s="7">
        <v>49</v>
      </c>
      <c r="D50">
        <v>9</v>
      </c>
      <c r="E50" t="s">
        <v>113</v>
      </c>
      <c r="F50">
        <v>180</v>
      </c>
    </row>
    <row r="51" spans="1:6" x14ac:dyDescent="0.2">
      <c r="A51" s="7" t="s">
        <v>82</v>
      </c>
      <c r="B51">
        <v>71217</v>
      </c>
      <c r="C51">
        <v>50</v>
      </c>
      <c r="D51">
        <v>9</v>
      </c>
      <c r="E51" t="s">
        <v>112</v>
      </c>
      <c r="F51">
        <v>22.6</v>
      </c>
    </row>
    <row r="52" spans="1:6" x14ac:dyDescent="0.2">
      <c r="A52" s="7" t="s">
        <v>82</v>
      </c>
      <c r="B52">
        <v>71217</v>
      </c>
      <c r="C52">
        <v>51</v>
      </c>
      <c r="D52">
        <v>9</v>
      </c>
      <c r="E52" t="s">
        <v>112</v>
      </c>
      <c r="F52">
        <v>16</v>
      </c>
    </row>
    <row r="53" spans="1:6" x14ac:dyDescent="0.2">
      <c r="A53" s="7" t="s">
        <v>82</v>
      </c>
      <c r="B53">
        <v>71217</v>
      </c>
      <c r="C53" s="7">
        <v>52</v>
      </c>
      <c r="D53">
        <v>9</v>
      </c>
      <c r="E53" t="s">
        <v>113</v>
      </c>
      <c r="F53">
        <v>16</v>
      </c>
    </row>
    <row r="54" spans="1:6" x14ac:dyDescent="0.2">
      <c r="A54" s="7" t="s">
        <v>82</v>
      </c>
      <c r="B54">
        <v>71217</v>
      </c>
      <c r="C54">
        <v>53</v>
      </c>
      <c r="D54">
        <v>10</v>
      </c>
      <c r="E54" t="s">
        <v>113</v>
      </c>
      <c r="F54">
        <v>22.6</v>
      </c>
    </row>
    <row r="55" spans="1:6" x14ac:dyDescent="0.2">
      <c r="A55" s="7" t="s">
        <v>82</v>
      </c>
      <c r="B55">
        <v>71217</v>
      </c>
      <c r="C55">
        <v>54</v>
      </c>
      <c r="D55">
        <v>10</v>
      </c>
      <c r="E55" t="s">
        <v>112</v>
      </c>
      <c r="F55">
        <v>180</v>
      </c>
    </row>
    <row r="56" spans="1:6" x14ac:dyDescent="0.2">
      <c r="A56" s="7" t="s">
        <v>82</v>
      </c>
      <c r="B56">
        <v>71217</v>
      </c>
      <c r="C56" s="7">
        <v>55</v>
      </c>
      <c r="D56">
        <v>10</v>
      </c>
      <c r="E56" t="s">
        <v>112</v>
      </c>
      <c r="F56">
        <v>16</v>
      </c>
    </row>
    <row r="57" spans="1:6" x14ac:dyDescent="0.2">
      <c r="A57" s="7" t="s">
        <v>82</v>
      </c>
      <c r="B57">
        <v>71217</v>
      </c>
      <c r="C57">
        <v>56</v>
      </c>
      <c r="D57">
        <v>11</v>
      </c>
      <c r="E57" t="s">
        <v>113</v>
      </c>
      <c r="F57">
        <v>180</v>
      </c>
    </row>
    <row r="58" spans="1:6" x14ac:dyDescent="0.2">
      <c r="A58" s="7" t="s">
        <v>82</v>
      </c>
      <c r="B58">
        <v>71217</v>
      </c>
      <c r="C58">
        <v>57</v>
      </c>
      <c r="D58">
        <v>11</v>
      </c>
      <c r="E58" t="s">
        <v>112</v>
      </c>
      <c r="F58">
        <v>90</v>
      </c>
    </row>
    <row r="59" spans="1:6" x14ac:dyDescent="0.2">
      <c r="A59" s="7" t="s">
        <v>82</v>
      </c>
      <c r="B59">
        <v>71217</v>
      </c>
      <c r="C59" s="7">
        <v>58</v>
      </c>
      <c r="D59">
        <v>11</v>
      </c>
      <c r="E59" t="s">
        <v>112</v>
      </c>
      <c r="F59">
        <v>45</v>
      </c>
    </row>
    <row r="60" spans="1:6" x14ac:dyDescent="0.2">
      <c r="A60" s="7" t="s">
        <v>82</v>
      </c>
      <c r="B60">
        <v>71217</v>
      </c>
      <c r="C60">
        <v>59</v>
      </c>
      <c r="D60">
        <v>11</v>
      </c>
      <c r="E60" t="s">
        <v>112</v>
      </c>
      <c r="F60">
        <v>32</v>
      </c>
    </row>
    <row r="61" spans="1:6" x14ac:dyDescent="0.2">
      <c r="A61" s="7" t="s">
        <v>82</v>
      </c>
      <c r="B61">
        <v>71217</v>
      </c>
      <c r="C61">
        <v>60</v>
      </c>
      <c r="D61">
        <v>11</v>
      </c>
      <c r="E61" t="s">
        <v>112</v>
      </c>
      <c r="F61">
        <v>45</v>
      </c>
    </row>
    <row r="62" spans="1:6" x14ac:dyDescent="0.2">
      <c r="A62" s="7" t="s">
        <v>82</v>
      </c>
      <c r="B62">
        <v>71217</v>
      </c>
      <c r="C62" s="7">
        <v>61</v>
      </c>
      <c r="D62">
        <v>11</v>
      </c>
      <c r="E62" t="s">
        <v>113</v>
      </c>
      <c r="F62">
        <v>8</v>
      </c>
    </row>
    <row r="63" spans="1:6" x14ac:dyDescent="0.2">
      <c r="A63" s="7" t="s">
        <v>82</v>
      </c>
      <c r="B63">
        <v>71217</v>
      </c>
      <c r="C63">
        <v>62</v>
      </c>
      <c r="D63">
        <v>12</v>
      </c>
      <c r="E63" t="s">
        <v>112</v>
      </c>
      <c r="F63">
        <v>45</v>
      </c>
    </row>
    <row r="64" spans="1:6" x14ac:dyDescent="0.2">
      <c r="A64" s="7" t="s">
        <v>82</v>
      </c>
      <c r="B64">
        <v>71217</v>
      </c>
      <c r="C64">
        <v>63</v>
      </c>
      <c r="D64">
        <v>12</v>
      </c>
      <c r="E64" t="s">
        <v>112</v>
      </c>
      <c r="F64">
        <v>90</v>
      </c>
    </row>
    <row r="65" spans="1:6" x14ac:dyDescent="0.2">
      <c r="A65" s="7" t="s">
        <v>82</v>
      </c>
      <c r="B65">
        <v>71217</v>
      </c>
      <c r="C65" s="7">
        <v>64</v>
      </c>
      <c r="D65">
        <v>12</v>
      </c>
      <c r="E65" t="s">
        <v>112</v>
      </c>
      <c r="F65">
        <v>45</v>
      </c>
    </row>
    <row r="66" spans="1:6" x14ac:dyDescent="0.2">
      <c r="A66" s="7" t="s">
        <v>82</v>
      </c>
      <c r="B66">
        <v>71217</v>
      </c>
      <c r="C66">
        <v>65</v>
      </c>
      <c r="D66">
        <v>12</v>
      </c>
      <c r="E66" t="s">
        <v>112</v>
      </c>
      <c r="F66">
        <v>32</v>
      </c>
    </row>
    <row r="67" spans="1:6" x14ac:dyDescent="0.2">
      <c r="A67" s="7" t="s">
        <v>82</v>
      </c>
      <c r="B67">
        <v>71217</v>
      </c>
      <c r="C67">
        <v>66</v>
      </c>
      <c r="D67">
        <v>12</v>
      </c>
      <c r="E67" t="s">
        <v>112</v>
      </c>
      <c r="F67">
        <v>22.6</v>
      </c>
    </row>
    <row r="68" spans="1:6" x14ac:dyDescent="0.2">
      <c r="A68" s="7" t="s">
        <v>82</v>
      </c>
      <c r="B68">
        <v>71217</v>
      </c>
      <c r="C68" s="7">
        <v>67</v>
      </c>
      <c r="D68">
        <v>12</v>
      </c>
      <c r="E68" t="s">
        <v>112</v>
      </c>
      <c r="F68">
        <v>180</v>
      </c>
    </row>
    <row r="69" spans="1:6" x14ac:dyDescent="0.2">
      <c r="A69" s="7" t="s">
        <v>82</v>
      </c>
      <c r="B69">
        <v>71217</v>
      </c>
      <c r="C69">
        <v>68</v>
      </c>
      <c r="D69">
        <v>13</v>
      </c>
      <c r="E69" t="s">
        <v>113</v>
      </c>
      <c r="F69">
        <v>16</v>
      </c>
    </row>
    <row r="70" spans="1:6" x14ac:dyDescent="0.2">
      <c r="A70" s="7" t="s">
        <v>82</v>
      </c>
      <c r="B70">
        <v>71217</v>
      </c>
      <c r="C70">
        <v>69</v>
      </c>
      <c r="D70">
        <v>13</v>
      </c>
      <c r="E70" t="s">
        <v>112</v>
      </c>
      <c r="F70">
        <v>64</v>
      </c>
    </row>
    <row r="71" spans="1:6" x14ac:dyDescent="0.2">
      <c r="A71" s="7" t="s">
        <v>82</v>
      </c>
      <c r="B71">
        <v>71217</v>
      </c>
      <c r="C71" s="7">
        <v>70</v>
      </c>
      <c r="D71">
        <v>13</v>
      </c>
      <c r="E71" t="s">
        <v>112</v>
      </c>
      <c r="F71">
        <v>180</v>
      </c>
    </row>
    <row r="72" spans="1:6" x14ac:dyDescent="0.2">
      <c r="A72" s="7" t="s">
        <v>82</v>
      </c>
      <c r="B72">
        <v>71217</v>
      </c>
      <c r="C72">
        <v>71</v>
      </c>
      <c r="D72">
        <v>13</v>
      </c>
      <c r="E72" t="s">
        <v>113</v>
      </c>
      <c r="F72">
        <v>90</v>
      </c>
    </row>
    <row r="73" spans="1:6" x14ac:dyDescent="0.2">
      <c r="A73" s="7" t="s">
        <v>82</v>
      </c>
      <c r="B73">
        <v>71217</v>
      </c>
      <c r="C73">
        <v>72</v>
      </c>
      <c r="D73">
        <v>13</v>
      </c>
      <c r="E73" t="s">
        <v>113</v>
      </c>
      <c r="F73">
        <v>32</v>
      </c>
    </row>
    <row r="74" spans="1:6" x14ac:dyDescent="0.2">
      <c r="A74" s="7" t="s">
        <v>82</v>
      </c>
      <c r="B74">
        <v>71217</v>
      </c>
      <c r="C74" s="7">
        <v>73</v>
      </c>
      <c r="D74">
        <v>13</v>
      </c>
      <c r="E74" t="s">
        <v>113</v>
      </c>
      <c r="F74">
        <v>90</v>
      </c>
    </row>
    <row r="75" spans="1:6" x14ac:dyDescent="0.2">
      <c r="A75" s="7" t="s">
        <v>82</v>
      </c>
      <c r="B75">
        <v>71217</v>
      </c>
      <c r="C75">
        <v>74</v>
      </c>
      <c r="D75">
        <v>13</v>
      </c>
      <c r="E75" t="s">
        <v>113</v>
      </c>
      <c r="F75">
        <v>5.6</v>
      </c>
    </row>
    <row r="76" spans="1:6" x14ac:dyDescent="0.2">
      <c r="A76" s="7" t="s">
        <v>82</v>
      </c>
      <c r="B76">
        <v>71217</v>
      </c>
      <c r="C76">
        <v>75</v>
      </c>
      <c r="D76">
        <v>13</v>
      </c>
      <c r="E76" t="s">
        <v>113</v>
      </c>
      <c r="F76">
        <v>8</v>
      </c>
    </row>
    <row r="77" spans="1:6" x14ac:dyDescent="0.2">
      <c r="A77" s="7" t="s">
        <v>82</v>
      </c>
      <c r="B77">
        <v>71217</v>
      </c>
      <c r="C77" s="7">
        <v>76</v>
      </c>
      <c r="D77">
        <v>14</v>
      </c>
      <c r="E77" t="s">
        <v>113</v>
      </c>
      <c r="F77">
        <v>22.6</v>
      </c>
    </row>
    <row r="78" spans="1:6" x14ac:dyDescent="0.2">
      <c r="A78" s="7" t="s">
        <v>82</v>
      </c>
      <c r="B78">
        <v>71217</v>
      </c>
      <c r="C78">
        <v>77</v>
      </c>
      <c r="D78">
        <v>14</v>
      </c>
      <c r="E78" t="s">
        <v>113</v>
      </c>
      <c r="F78">
        <v>90</v>
      </c>
    </row>
    <row r="79" spans="1:6" x14ac:dyDescent="0.2">
      <c r="A79" s="7" t="s">
        <v>82</v>
      </c>
      <c r="B79">
        <v>71217</v>
      </c>
      <c r="C79">
        <v>78</v>
      </c>
      <c r="D79">
        <v>14</v>
      </c>
      <c r="E79" t="s">
        <v>113</v>
      </c>
      <c r="F79">
        <v>64</v>
      </c>
    </row>
    <row r="80" spans="1:6" x14ac:dyDescent="0.2">
      <c r="A80" s="7" t="s">
        <v>82</v>
      </c>
      <c r="B80">
        <v>71217</v>
      </c>
      <c r="C80" s="7">
        <v>79</v>
      </c>
      <c r="D80">
        <v>14</v>
      </c>
      <c r="E80" t="s">
        <v>113</v>
      </c>
      <c r="F80">
        <v>180</v>
      </c>
    </row>
    <row r="81" spans="1:6" x14ac:dyDescent="0.2">
      <c r="A81" s="7" t="s">
        <v>82</v>
      </c>
      <c r="B81">
        <v>71217</v>
      </c>
      <c r="C81">
        <v>80</v>
      </c>
      <c r="D81">
        <v>14</v>
      </c>
      <c r="E81" t="s">
        <v>112</v>
      </c>
      <c r="F81">
        <v>45</v>
      </c>
    </row>
    <row r="82" spans="1:6" x14ac:dyDescent="0.2">
      <c r="A82" s="7" t="s">
        <v>82</v>
      </c>
      <c r="B82">
        <v>71217</v>
      </c>
      <c r="C82">
        <v>81</v>
      </c>
      <c r="D82">
        <v>14</v>
      </c>
      <c r="E82" t="s">
        <v>112</v>
      </c>
      <c r="F82">
        <v>45</v>
      </c>
    </row>
    <row r="83" spans="1:6" x14ac:dyDescent="0.2">
      <c r="A83" s="7" t="s">
        <v>82</v>
      </c>
      <c r="B83">
        <v>71217</v>
      </c>
      <c r="C83" s="7">
        <v>82</v>
      </c>
      <c r="D83">
        <v>14</v>
      </c>
      <c r="E83" t="s">
        <v>113</v>
      </c>
      <c r="F83">
        <v>180</v>
      </c>
    </row>
    <row r="84" spans="1:6" x14ac:dyDescent="0.2">
      <c r="A84" s="7" t="s">
        <v>82</v>
      </c>
      <c r="B84">
        <v>71217</v>
      </c>
      <c r="C84">
        <v>83</v>
      </c>
      <c r="D84">
        <v>15</v>
      </c>
      <c r="E84" t="s">
        <v>112</v>
      </c>
      <c r="F84">
        <v>22.6</v>
      </c>
    </row>
    <row r="85" spans="1:6" x14ac:dyDescent="0.2">
      <c r="A85" s="7" t="s">
        <v>82</v>
      </c>
      <c r="B85">
        <v>71217</v>
      </c>
      <c r="C85">
        <v>84</v>
      </c>
      <c r="D85">
        <v>15</v>
      </c>
      <c r="E85" t="s">
        <v>112</v>
      </c>
      <c r="F85">
        <v>16</v>
      </c>
    </row>
    <row r="86" spans="1:6" x14ac:dyDescent="0.2">
      <c r="A86" s="7" t="s">
        <v>82</v>
      </c>
      <c r="B86">
        <v>71217</v>
      </c>
      <c r="C86" s="7">
        <v>85</v>
      </c>
      <c r="D86">
        <v>15</v>
      </c>
      <c r="E86" t="s">
        <v>113</v>
      </c>
      <c r="F86">
        <v>180</v>
      </c>
    </row>
    <row r="87" spans="1:6" x14ac:dyDescent="0.2">
      <c r="A87" s="7" t="s">
        <v>82</v>
      </c>
      <c r="B87">
        <v>71217</v>
      </c>
      <c r="C87">
        <v>86</v>
      </c>
      <c r="D87">
        <v>15</v>
      </c>
      <c r="E87" t="s">
        <v>113</v>
      </c>
      <c r="F87">
        <v>64</v>
      </c>
    </row>
    <row r="88" spans="1:6" x14ac:dyDescent="0.2">
      <c r="A88" s="7" t="s">
        <v>82</v>
      </c>
      <c r="B88">
        <v>71217</v>
      </c>
      <c r="C88">
        <v>87</v>
      </c>
      <c r="D88">
        <v>15</v>
      </c>
      <c r="E88" t="s">
        <v>113</v>
      </c>
      <c r="F88">
        <v>128</v>
      </c>
    </row>
    <row r="89" spans="1:6" x14ac:dyDescent="0.2">
      <c r="A89" s="7" t="s">
        <v>82</v>
      </c>
      <c r="B89">
        <v>71217</v>
      </c>
      <c r="C89" s="7">
        <v>88</v>
      </c>
      <c r="D89">
        <v>15</v>
      </c>
      <c r="E89" t="s">
        <v>113</v>
      </c>
      <c r="F89">
        <v>32</v>
      </c>
    </row>
    <row r="90" spans="1:6" x14ac:dyDescent="0.2">
      <c r="A90" s="7" t="s">
        <v>82</v>
      </c>
      <c r="B90">
        <v>71217</v>
      </c>
      <c r="C90">
        <v>89</v>
      </c>
      <c r="D90">
        <v>15</v>
      </c>
      <c r="E90" t="s">
        <v>113</v>
      </c>
      <c r="F90">
        <v>16</v>
      </c>
    </row>
    <row r="91" spans="1:6" x14ac:dyDescent="0.2">
      <c r="A91" s="7" t="s">
        <v>82</v>
      </c>
      <c r="B91">
        <v>71217</v>
      </c>
      <c r="C91">
        <v>90</v>
      </c>
      <c r="D91">
        <v>15</v>
      </c>
      <c r="E91" t="s">
        <v>113</v>
      </c>
      <c r="F91">
        <v>11</v>
      </c>
    </row>
    <row r="92" spans="1:6" x14ac:dyDescent="0.2">
      <c r="A92" s="7" t="s">
        <v>82</v>
      </c>
      <c r="B92">
        <v>71217</v>
      </c>
      <c r="C92" s="7">
        <v>91</v>
      </c>
      <c r="D92">
        <v>15</v>
      </c>
      <c r="E92" t="s">
        <v>113</v>
      </c>
      <c r="F92">
        <v>11</v>
      </c>
    </row>
    <row r="93" spans="1:6" x14ac:dyDescent="0.2">
      <c r="A93" s="7" t="s">
        <v>82</v>
      </c>
      <c r="B93">
        <v>71217</v>
      </c>
      <c r="C93">
        <v>92</v>
      </c>
      <c r="D93">
        <v>15</v>
      </c>
      <c r="E93" t="s">
        <v>113</v>
      </c>
      <c r="F93">
        <v>16</v>
      </c>
    </row>
    <row r="94" spans="1:6" x14ac:dyDescent="0.2">
      <c r="A94" s="7" t="s">
        <v>82</v>
      </c>
      <c r="B94">
        <v>71217</v>
      </c>
      <c r="C94">
        <v>93</v>
      </c>
      <c r="D94">
        <v>16</v>
      </c>
      <c r="E94" t="s">
        <v>112</v>
      </c>
      <c r="F94">
        <v>32</v>
      </c>
    </row>
    <row r="95" spans="1:6" x14ac:dyDescent="0.2">
      <c r="A95" s="7" t="s">
        <v>82</v>
      </c>
      <c r="B95">
        <v>71217</v>
      </c>
      <c r="C95" s="7">
        <v>94</v>
      </c>
      <c r="D95">
        <v>16</v>
      </c>
      <c r="E95" t="s">
        <v>113</v>
      </c>
      <c r="F95">
        <v>64</v>
      </c>
    </row>
    <row r="96" spans="1:6" x14ac:dyDescent="0.2">
      <c r="A96" s="7" t="s">
        <v>82</v>
      </c>
      <c r="B96">
        <v>71217</v>
      </c>
      <c r="C96">
        <v>95</v>
      </c>
      <c r="D96">
        <v>16</v>
      </c>
      <c r="E96" t="s">
        <v>113</v>
      </c>
      <c r="F96">
        <v>45</v>
      </c>
    </row>
    <row r="97" spans="1:6" x14ac:dyDescent="0.2">
      <c r="A97" s="7" t="s">
        <v>82</v>
      </c>
      <c r="B97">
        <v>71217</v>
      </c>
      <c r="C97">
        <v>96</v>
      </c>
      <c r="D97">
        <v>16</v>
      </c>
      <c r="E97" t="s">
        <v>113</v>
      </c>
      <c r="F97">
        <v>180</v>
      </c>
    </row>
    <row r="98" spans="1:6" x14ac:dyDescent="0.2">
      <c r="A98" s="7" t="s">
        <v>82</v>
      </c>
      <c r="B98">
        <v>71217</v>
      </c>
      <c r="C98">
        <v>97</v>
      </c>
      <c r="D98" t="s">
        <v>26</v>
      </c>
      <c r="E98" t="s">
        <v>26</v>
      </c>
      <c r="F98" t="s">
        <v>26</v>
      </c>
    </row>
    <row r="99" spans="1:6" x14ac:dyDescent="0.2">
      <c r="A99" s="7" t="s">
        <v>82</v>
      </c>
      <c r="B99">
        <v>71217</v>
      </c>
      <c r="C99">
        <v>98</v>
      </c>
      <c r="D99" t="s">
        <v>26</v>
      </c>
      <c r="E99" t="s">
        <v>26</v>
      </c>
      <c r="F99" t="s">
        <v>26</v>
      </c>
    </row>
    <row r="100" spans="1:6" x14ac:dyDescent="0.2">
      <c r="A100" s="7" t="s">
        <v>82</v>
      </c>
      <c r="B100">
        <v>71217</v>
      </c>
      <c r="C100" s="7">
        <v>99</v>
      </c>
      <c r="D100" t="s">
        <v>26</v>
      </c>
      <c r="E100" t="s">
        <v>26</v>
      </c>
      <c r="F100" t="s">
        <v>26</v>
      </c>
    </row>
    <row r="101" spans="1:6" x14ac:dyDescent="0.2">
      <c r="A101" s="7" t="s">
        <v>82</v>
      </c>
      <c r="B101">
        <v>71217</v>
      </c>
      <c r="C101">
        <v>100</v>
      </c>
      <c r="D101" t="s">
        <v>26</v>
      </c>
      <c r="E101" t="s">
        <v>26</v>
      </c>
      <c r="F101" t="s">
        <v>26</v>
      </c>
    </row>
    <row r="102" spans="1:6" x14ac:dyDescent="0.2">
      <c r="A102" s="7" t="s">
        <v>84</v>
      </c>
      <c r="B102">
        <v>71217</v>
      </c>
      <c r="C102">
        <v>1</v>
      </c>
      <c r="D102">
        <v>1</v>
      </c>
      <c r="E102" t="s">
        <v>112</v>
      </c>
      <c r="F102">
        <v>16</v>
      </c>
    </row>
    <row r="103" spans="1:6" x14ac:dyDescent="0.2">
      <c r="A103" s="7" t="s">
        <v>84</v>
      </c>
      <c r="B103">
        <v>71217</v>
      </c>
      <c r="C103">
        <v>2</v>
      </c>
      <c r="D103">
        <v>1</v>
      </c>
      <c r="E103" t="s">
        <v>113</v>
      </c>
      <c r="F103">
        <v>16</v>
      </c>
    </row>
    <row r="104" spans="1:6" x14ac:dyDescent="0.2">
      <c r="A104" s="7" t="s">
        <v>84</v>
      </c>
      <c r="B104">
        <v>71217</v>
      </c>
      <c r="C104">
        <v>3</v>
      </c>
      <c r="D104">
        <v>1</v>
      </c>
      <c r="E104" t="s">
        <v>112</v>
      </c>
      <c r="F104">
        <v>90</v>
      </c>
    </row>
    <row r="105" spans="1:6" x14ac:dyDescent="0.2">
      <c r="A105" s="7" t="s">
        <v>84</v>
      </c>
      <c r="B105">
        <v>71217</v>
      </c>
      <c r="C105">
        <v>4</v>
      </c>
      <c r="D105">
        <v>1</v>
      </c>
      <c r="E105" t="s">
        <v>112</v>
      </c>
      <c r="F105" t="s">
        <v>115</v>
      </c>
    </row>
    <row r="106" spans="1:6" x14ac:dyDescent="0.2">
      <c r="A106" s="7" t="s">
        <v>84</v>
      </c>
      <c r="B106">
        <v>71217</v>
      </c>
      <c r="C106">
        <v>5</v>
      </c>
      <c r="D106">
        <v>1</v>
      </c>
      <c r="E106" t="s">
        <v>112</v>
      </c>
      <c r="F106" t="s">
        <v>115</v>
      </c>
    </row>
    <row r="107" spans="1:6" x14ac:dyDescent="0.2">
      <c r="A107" s="7" t="s">
        <v>84</v>
      </c>
      <c r="B107">
        <v>71217</v>
      </c>
      <c r="C107">
        <v>6</v>
      </c>
      <c r="D107">
        <v>1</v>
      </c>
      <c r="E107" t="s">
        <v>112</v>
      </c>
      <c r="F107">
        <v>2</v>
      </c>
    </row>
    <row r="108" spans="1:6" x14ac:dyDescent="0.2">
      <c r="A108" s="7" t="s">
        <v>84</v>
      </c>
      <c r="B108">
        <v>71217</v>
      </c>
      <c r="C108">
        <v>7</v>
      </c>
      <c r="D108">
        <v>2</v>
      </c>
      <c r="E108" t="s">
        <v>112</v>
      </c>
      <c r="F108" t="s">
        <v>115</v>
      </c>
    </row>
    <row r="109" spans="1:6" x14ac:dyDescent="0.2">
      <c r="A109" s="7" t="s">
        <v>84</v>
      </c>
      <c r="B109">
        <v>71217</v>
      </c>
      <c r="C109">
        <v>8</v>
      </c>
      <c r="D109">
        <v>2</v>
      </c>
      <c r="E109" t="s">
        <v>112</v>
      </c>
      <c r="F109">
        <v>64</v>
      </c>
    </row>
    <row r="110" spans="1:6" x14ac:dyDescent="0.2">
      <c r="A110" s="7" t="s">
        <v>84</v>
      </c>
      <c r="B110">
        <v>71217</v>
      </c>
      <c r="C110">
        <v>9</v>
      </c>
      <c r="D110">
        <v>2</v>
      </c>
      <c r="E110" t="s">
        <v>112</v>
      </c>
      <c r="F110">
        <v>90</v>
      </c>
    </row>
    <row r="111" spans="1:6" x14ac:dyDescent="0.2">
      <c r="A111" s="7" t="s">
        <v>84</v>
      </c>
      <c r="B111">
        <v>71217</v>
      </c>
      <c r="C111">
        <v>10</v>
      </c>
      <c r="D111">
        <v>2</v>
      </c>
      <c r="E111" t="s">
        <v>112</v>
      </c>
      <c r="F111">
        <v>22.6</v>
      </c>
    </row>
    <row r="112" spans="1:6" x14ac:dyDescent="0.2">
      <c r="A112" s="7" t="s">
        <v>84</v>
      </c>
      <c r="B112">
        <v>71217</v>
      </c>
      <c r="C112">
        <v>11</v>
      </c>
      <c r="D112">
        <v>3</v>
      </c>
      <c r="E112" t="s">
        <v>112</v>
      </c>
      <c r="F112">
        <v>16</v>
      </c>
    </row>
    <row r="113" spans="1:6" x14ac:dyDescent="0.2">
      <c r="A113" s="7" t="s">
        <v>84</v>
      </c>
      <c r="B113">
        <v>71217</v>
      </c>
      <c r="C113">
        <v>12</v>
      </c>
      <c r="D113">
        <v>3</v>
      </c>
      <c r="E113" t="s">
        <v>112</v>
      </c>
      <c r="F113">
        <v>11</v>
      </c>
    </row>
    <row r="114" spans="1:6" x14ac:dyDescent="0.2">
      <c r="A114" s="7" t="s">
        <v>84</v>
      </c>
      <c r="B114">
        <v>71217</v>
      </c>
      <c r="C114">
        <v>13</v>
      </c>
      <c r="D114">
        <v>3</v>
      </c>
      <c r="E114" t="s">
        <v>112</v>
      </c>
      <c r="F114">
        <v>180</v>
      </c>
    </row>
    <row r="115" spans="1:6" x14ac:dyDescent="0.2">
      <c r="A115" s="7" t="s">
        <v>84</v>
      </c>
      <c r="B115">
        <v>71217</v>
      </c>
      <c r="C115">
        <v>14</v>
      </c>
      <c r="D115">
        <v>3</v>
      </c>
      <c r="E115" t="s">
        <v>112</v>
      </c>
      <c r="F115">
        <v>16</v>
      </c>
    </row>
    <row r="116" spans="1:6" x14ac:dyDescent="0.2">
      <c r="A116" s="7" t="s">
        <v>84</v>
      </c>
      <c r="B116">
        <v>71217</v>
      </c>
      <c r="C116">
        <v>15</v>
      </c>
      <c r="D116">
        <v>4</v>
      </c>
      <c r="E116" t="s">
        <v>112</v>
      </c>
      <c r="F116" t="s">
        <v>115</v>
      </c>
    </row>
    <row r="117" spans="1:6" x14ac:dyDescent="0.2">
      <c r="A117" s="7" t="s">
        <v>84</v>
      </c>
      <c r="B117">
        <v>71217</v>
      </c>
      <c r="C117">
        <v>16</v>
      </c>
      <c r="D117">
        <v>4</v>
      </c>
      <c r="E117" t="s">
        <v>112</v>
      </c>
      <c r="F117" t="s">
        <v>115</v>
      </c>
    </row>
    <row r="118" spans="1:6" x14ac:dyDescent="0.2">
      <c r="A118" s="7" t="s">
        <v>84</v>
      </c>
      <c r="B118">
        <v>71217</v>
      </c>
      <c r="C118">
        <v>17</v>
      </c>
      <c r="D118">
        <v>4</v>
      </c>
      <c r="E118" t="s">
        <v>112</v>
      </c>
      <c r="F118">
        <v>128</v>
      </c>
    </row>
    <row r="119" spans="1:6" x14ac:dyDescent="0.2">
      <c r="A119" s="7" t="s">
        <v>84</v>
      </c>
      <c r="B119">
        <v>71217</v>
      </c>
      <c r="C119">
        <v>18</v>
      </c>
      <c r="D119">
        <v>4</v>
      </c>
      <c r="E119" t="s">
        <v>112</v>
      </c>
      <c r="F119" t="s">
        <v>115</v>
      </c>
    </row>
    <row r="120" spans="1:6" x14ac:dyDescent="0.2">
      <c r="A120" s="7" t="s">
        <v>84</v>
      </c>
      <c r="B120">
        <v>71217</v>
      </c>
      <c r="C120">
        <v>19</v>
      </c>
      <c r="D120">
        <v>4</v>
      </c>
      <c r="E120" t="s">
        <v>112</v>
      </c>
      <c r="F120" t="s">
        <v>115</v>
      </c>
    </row>
    <row r="121" spans="1:6" x14ac:dyDescent="0.2">
      <c r="A121" s="7" t="s">
        <v>84</v>
      </c>
      <c r="B121">
        <v>71217</v>
      </c>
      <c r="C121">
        <v>20</v>
      </c>
      <c r="D121">
        <v>5</v>
      </c>
      <c r="E121" t="s">
        <v>112</v>
      </c>
      <c r="F121" t="s">
        <v>115</v>
      </c>
    </row>
    <row r="122" spans="1:6" x14ac:dyDescent="0.2">
      <c r="A122" s="7" t="s">
        <v>84</v>
      </c>
      <c r="B122">
        <v>71217</v>
      </c>
      <c r="C122">
        <v>21</v>
      </c>
      <c r="D122">
        <v>5</v>
      </c>
      <c r="E122" t="s">
        <v>113</v>
      </c>
      <c r="F122" t="s">
        <v>115</v>
      </c>
    </row>
    <row r="123" spans="1:6" x14ac:dyDescent="0.2">
      <c r="A123" s="7" t="s">
        <v>84</v>
      </c>
      <c r="B123">
        <v>71217</v>
      </c>
      <c r="C123">
        <v>22</v>
      </c>
      <c r="D123">
        <v>5</v>
      </c>
      <c r="E123" t="s">
        <v>113</v>
      </c>
      <c r="F123" t="s">
        <v>115</v>
      </c>
    </row>
    <row r="124" spans="1:6" x14ac:dyDescent="0.2">
      <c r="A124" s="7" t="s">
        <v>84</v>
      </c>
      <c r="B124">
        <v>71217</v>
      </c>
      <c r="C124">
        <v>23</v>
      </c>
      <c r="D124">
        <v>5</v>
      </c>
      <c r="E124" t="s">
        <v>113</v>
      </c>
      <c r="F124" t="s">
        <v>115</v>
      </c>
    </row>
    <row r="125" spans="1:6" x14ac:dyDescent="0.2">
      <c r="A125" s="7" t="s">
        <v>84</v>
      </c>
      <c r="B125">
        <v>71217</v>
      </c>
      <c r="C125">
        <v>24</v>
      </c>
      <c r="D125">
        <v>5</v>
      </c>
      <c r="E125" t="s">
        <v>113</v>
      </c>
      <c r="F125" t="s">
        <v>115</v>
      </c>
    </row>
    <row r="126" spans="1:6" x14ac:dyDescent="0.2">
      <c r="A126" s="7" t="s">
        <v>84</v>
      </c>
      <c r="B126">
        <v>71217</v>
      </c>
      <c r="C126">
        <v>25</v>
      </c>
      <c r="D126">
        <v>5</v>
      </c>
      <c r="E126" t="s">
        <v>113</v>
      </c>
      <c r="F126" t="s">
        <v>115</v>
      </c>
    </row>
    <row r="127" spans="1:6" x14ac:dyDescent="0.2">
      <c r="A127" s="7" t="s">
        <v>84</v>
      </c>
      <c r="B127">
        <v>71217</v>
      </c>
      <c r="C127">
        <v>26</v>
      </c>
      <c r="D127">
        <v>6</v>
      </c>
      <c r="E127" t="s">
        <v>113</v>
      </c>
      <c r="F127" t="s">
        <v>115</v>
      </c>
    </row>
    <row r="128" spans="1:6" x14ac:dyDescent="0.2">
      <c r="A128" s="7" t="s">
        <v>84</v>
      </c>
      <c r="B128">
        <v>71217</v>
      </c>
      <c r="C128">
        <v>27</v>
      </c>
      <c r="D128">
        <v>6</v>
      </c>
      <c r="E128" t="s">
        <v>113</v>
      </c>
      <c r="F128" t="s">
        <v>115</v>
      </c>
    </row>
    <row r="129" spans="1:6" x14ac:dyDescent="0.2">
      <c r="A129" s="7" t="s">
        <v>84</v>
      </c>
      <c r="B129">
        <v>71217</v>
      </c>
      <c r="C129">
        <v>28</v>
      </c>
      <c r="D129">
        <v>6</v>
      </c>
      <c r="E129" t="s">
        <v>113</v>
      </c>
      <c r="F129" t="s">
        <v>115</v>
      </c>
    </row>
    <row r="130" spans="1:6" x14ac:dyDescent="0.2">
      <c r="A130" s="7" t="s">
        <v>84</v>
      </c>
      <c r="B130">
        <v>71217</v>
      </c>
      <c r="C130">
        <v>29</v>
      </c>
      <c r="D130">
        <v>6</v>
      </c>
      <c r="E130" t="s">
        <v>113</v>
      </c>
      <c r="F130" t="s">
        <v>115</v>
      </c>
    </row>
    <row r="131" spans="1:6" x14ac:dyDescent="0.2">
      <c r="A131" s="7" t="s">
        <v>84</v>
      </c>
      <c r="B131">
        <v>71217</v>
      </c>
      <c r="C131">
        <v>30</v>
      </c>
      <c r="D131">
        <v>6</v>
      </c>
      <c r="E131" t="s">
        <v>113</v>
      </c>
      <c r="F131">
        <v>32</v>
      </c>
    </row>
    <row r="132" spans="1:6" x14ac:dyDescent="0.2">
      <c r="A132" s="7" t="s">
        <v>84</v>
      </c>
      <c r="B132">
        <v>71217</v>
      </c>
      <c r="C132">
        <v>31</v>
      </c>
      <c r="D132">
        <v>6</v>
      </c>
      <c r="E132" t="s">
        <v>113</v>
      </c>
      <c r="F132" t="s">
        <v>115</v>
      </c>
    </row>
    <row r="133" spans="1:6" x14ac:dyDescent="0.2">
      <c r="A133" s="7" t="s">
        <v>84</v>
      </c>
      <c r="B133">
        <v>71217</v>
      </c>
      <c r="C133">
        <v>32</v>
      </c>
      <c r="D133">
        <v>6</v>
      </c>
      <c r="E133" t="s">
        <v>113</v>
      </c>
      <c r="F133" t="s">
        <v>115</v>
      </c>
    </row>
    <row r="134" spans="1:6" x14ac:dyDescent="0.2">
      <c r="A134" s="7" t="s">
        <v>84</v>
      </c>
      <c r="B134">
        <v>71217</v>
      </c>
      <c r="C134">
        <v>33</v>
      </c>
      <c r="D134">
        <v>6</v>
      </c>
      <c r="E134" t="s">
        <v>113</v>
      </c>
      <c r="F134">
        <v>16</v>
      </c>
    </row>
    <row r="135" spans="1:6" x14ac:dyDescent="0.2">
      <c r="A135" s="7" t="s">
        <v>84</v>
      </c>
      <c r="B135">
        <v>71217</v>
      </c>
      <c r="C135">
        <v>34</v>
      </c>
      <c r="D135">
        <v>7</v>
      </c>
      <c r="E135" t="s">
        <v>112</v>
      </c>
      <c r="F135" t="s">
        <v>115</v>
      </c>
    </row>
    <row r="136" spans="1:6" x14ac:dyDescent="0.2">
      <c r="A136" s="7" t="s">
        <v>84</v>
      </c>
      <c r="B136">
        <v>71217</v>
      </c>
      <c r="C136">
        <v>35</v>
      </c>
      <c r="D136">
        <v>7</v>
      </c>
      <c r="E136" t="s">
        <v>112</v>
      </c>
      <c r="F136" t="s">
        <v>115</v>
      </c>
    </row>
    <row r="137" spans="1:6" x14ac:dyDescent="0.2">
      <c r="A137" s="7" t="s">
        <v>84</v>
      </c>
      <c r="B137">
        <v>71217</v>
      </c>
      <c r="C137">
        <v>36</v>
      </c>
      <c r="D137">
        <v>7</v>
      </c>
      <c r="E137" t="s">
        <v>113</v>
      </c>
      <c r="F137">
        <v>22.6</v>
      </c>
    </row>
    <row r="138" spans="1:6" x14ac:dyDescent="0.2">
      <c r="A138" s="7" t="s">
        <v>84</v>
      </c>
      <c r="B138">
        <v>71217</v>
      </c>
      <c r="C138">
        <v>37</v>
      </c>
      <c r="D138">
        <v>7</v>
      </c>
      <c r="E138" t="s">
        <v>113</v>
      </c>
      <c r="F138" t="s">
        <v>115</v>
      </c>
    </row>
    <row r="139" spans="1:6" x14ac:dyDescent="0.2">
      <c r="A139" s="7" t="s">
        <v>84</v>
      </c>
      <c r="B139">
        <v>71217</v>
      </c>
      <c r="C139">
        <v>38</v>
      </c>
      <c r="D139">
        <v>7</v>
      </c>
      <c r="E139" t="s">
        <v>113</v>
      </c>
      <c r="F139" t="s">
        <v>115</v>
      </c>
    </row>
    <row r="140" spans="1:6" x14ac:dyDescent="0.2">
      <c r="A140" s="7" t="s">
        <v>84</v>
      </c>
      <c r="B140">
        <v>71217</v>
      </c>
      <c r="C140">
        <v>39</v>
      </c>
      <c r="D140">
        <v>7</v>
      </c>
      <c r="E140" t="s">
        <v>113</v>
      </c>
      <c r="F140" t="s">
        <v>115</v>
      </c>
    </row>
    <row r="141" spans="1:6" x14ac:dyDescent="0.2">
      <c r="A141" s="7" t="s">
        <v>84</v>
      </c>
      <c r="B141">
        <v>71217</v>
      </c>
      <c r="C141">
        <v>40</v>
      </c>
      <c r="D141">
        <v>7</v>
      </c>
      <c r="E141" t="s">
        <v>113</v>
      </c>
      <c r="F141" t="s">
        <v>115</v>
      </c>
    </row>
    <row r="142" spans="1:6" x14ac:dyDescent="0.2">
      <c r="A142" s="7" t="s">
        <v>84</v>
      </c>
      <c r="B142">
        <v>71217</v>
      </c>
      <c r="C142">
        <v>41</v>
      </c>
      <c r="D142">
        <v>7</v>
      </c>
      <c r="E142" t="s">
        <v>113</v>
      </c>
      <c r="F142" t="s">
        <v>115</v>
      </c>
    </row>
    <row r="143" spans="1:6" x14ac:dyDescent="0.2">
      <c r="A143" s="7" t="s">
        <v>84</v>
      </c>
      <c r="B143">
        <v>71217</v>
      </c>
      <c r="C143">
        <v>42</v>
      </c>
      <c r="D143">
        <v>8</v>
      </c>
      <c r="E143" t="s">
        <v>113</v>
      </c>
      <c r="F143" t="s">
        <v>115</v>
      </c>
    </row>
    <row r="144" spans="1:6" x14ac:dyDescent="0.2">
      <c r="A144" s="7" t="s">
        <v>84</v>
      </c>
      <c r="B144">
        <v>71217</v>
      </c>
      <c r="C144">
        <v>43</v>
      </c>
      <c r="D144">
        <v>8</v>
      </c>
      <c r="E144" t="s">
        <v>113</v>
      </c>
      <c r="F144">
        <v>2.8</v>
      </c>
    </row>
    <row r="145" spans="1:6" x14ac:dyDescent="0.2">
      <c r="A145" s="7" t="s">
        <v>84</v>
      </c>
      <c r="B145">
        <v>71217</v>
      </c>
      <c r="C145">
        <v>44</v>
      </c>
      <c r="D145">
        <v>8</v>
      </c>
      <c r="E145" t="s">
        <v>111</v>
      </c>
      <c r="F145" t="s">
        <v>115</v>
      </c>
    </row>
    <row r="146" spans="1:6" x14ac:dyDescent="0.2">
      <c r="A146" s="7" t="s">
        <v>84</v>
      </c>
      <c r="B146">
        <v>71217</v>
      </c>
      <c r="C146">
        <v>45</v>
      </c>
      <c r="D146">
        <v>8</v>
      </c>
      <c r="E146" t="s">
        <v>111</v>
      </c>
      <c r="F146" t="s">
        <v>115</v>
      </c>
    </row>
    <row r="147" spans="1:6" x14ac:dyDescent="0.2">
      <c r="A147" s="7" t="s">
        <v>84</v>
      </c>
      <c r="B147">
        <v>71217</v>
      </c>
      <c r="C147">
        <v>46</v>
      </c>
      <c r="D147">
        <v>8</v>
      </c>
      <c r="E147" t="s">
        <v>111</v>
      </c>
      <c r="F147" t="s">
        <v>115</v>
      </c>
    </row>
    <row r="148" spans="1:6" x14ac:dyDescent="0.2">
      <c r="A148" s="7" t="s">
        <v>84</v>
      </c>
      <c r="B148">
        <v>71217</v>
      </c>
      <c r="C148">
        <v>47</v>
      </c>
      <c r="D148">
        <v>8</v>
      </c>
      <c r="E148" t="s">
        <v>111</v>
      </c>
      <c r="F148" t="s">
        <v>115</v>
      </c>
    </row>
    <row r="149" spans="1:6" x14ac:dyDescent="0.2">
      <c r="A149" s="7" t="s">
        <v>84</v>
      </c>
      <c r="B149">
        <v>71217</v>
      </c>
      <c r="C149">
        <v>48</v>
      </c>
      <c r="D149">
        <v>8</v>
      </c>
      <c r="E149" t="s">
        <v>111</v>
      </c>
      <c r="F149" t="s">
        <v>115</v>
      </c>
    </row>
    <row r="150" spans="1:6" x14ac:dyDescent="0.2">
      <c r="A150" s="7" t="s">
        <v>84</v>
      </c>
      <c r="B150">
        <v>71217</v>
      </c>
      <c r="C150">
        <v>49</v>
      </c>
      <c r="D150">
        <v>8</v>
      </c>
      <c r="E150" t="s">
        <v>111</v>
      </c>
      <c r="F150">
        <v>180</v>
      </c>
    </row>
    <row r="151" spans="1:6" x14ac:dyDescent="0.2">
      <c r="A151" s="7" t="s">
        <v>84</v>
      </c>
      <c r="B151">
        <v>71217</v>
      </c>
      <c r="C151">
        <v>50</v>
      </c>
      <c r="D151">
        <v>8</v>
      </c>
      <c r="E151" t="s">
        <v>113</v>
      </c>
      <c r="F151" t="s">
        <v>115</v>
      </c>
    </row>
    <row r="152" spans="1:6" x14ac:dyDescent="0.2">
      <c r="A152" s="7" t="s">
        <v>84</v>
      </c>
      <c r="B152">
        <v>71217</v>
      </c>
      <c r="C152">
        <v>51</v>
      </c>
      <c r="D152">
        <v>9</v>
      </c>
      <c r="E152" t="s">
        <v>113</v>
      </c>
      <c r="F152" t="s">
        <v>115</v>
      </c>
    </row>
    <row r="153" spans="1:6" x14ac:dyDescent="0.2">
      <c r="A153" s="7" t="s">
        <v>84</v>
      </c>
      <c r="B153">
        <v>71217</v>
      </c>
      <c r="C153">
        <v>52</v>
      </c>
      <c r="D153">
        <v>9</v>
      </c>
      <c r="E153" t="s">
        <v>112</v>
      </c>
      <c r="F153" t="s">
        <v>115</v>
      </c>
    </row>
    <row r="154" spans="1:6" x14ac:dyDescent="0.2">
      <c r="A154" s="7" t="s">
        <v>84</v>
      </c>
      <c r="B154">
        <v>71217</v>
      </c>
      <c r="C154">
        <v>53</v>
      </c>
      <c r="D154">
        <v>9</v>
      </c>
      <c r="E154" t="s">
        <v>112</v>
      </c>
      <c r="F154">
        <v>180</v>
      </c>
    </row>
    <row r="155" spans="1:6" x14ac:dyDescent="0.2">
      <c r="A155" s="7" t="s">
        <v>84</v>
      </c>
      <c r="B155">
        <v>71217</v>
      </c>
      <c r="C155">
        <v>54</v>
      </c>
      <c r="D155">
        <v>9</v>
      </c>
      <c r="E155" t="s">
        <v>112</v>
      </c>
      <c r="F155">
        <v>180</v>
      </c>
    </row>
    <row r="156" spans="1:6" x14ac:dyDescent="0.2">
      <c r="A156" s="7" t="s">
        <v>84</v>
      </c>
      <c r="B156">
        <v>71217</v>
      </c>
      <c r="C156">
        <v>55</v>
      </c>
      <c r="D156">
        <v>9</v>
      </c>
      <c r="E156" t="s">
        <v>112</v>
      </c>
      <c r="F156">
        <v>180</v>
      </c>
    </row>
    <row r="157" spans="1:6" x14ac:dyDescent="0.2">
      <c r="A157" s="7" t="s">
        <v>84</v>
      </c>
      <c r="B157">
        <v>71217</v>
      </c>
      <c r="C157">
        <v>56</v>
      </c>
      <c r="D157">
        <v>9</v>
      </c>
      <c r="E157" t="s">
        <v>112</v>
      </c>
      <c r="F157">
        <v>64</v>
      </c>
    </row>
    <row r="158" spans="1:6" x14ac:dyDescent="0.2">
      <c r="A158" s="7" t="s">
        <v>84</v>
      </c>
      <c r="B158">
        <v>71217</v>
      </c>
      <c r="C158">
        <v>57</v>
      </c>
      <c r="D158">
        <v>10</v>
      </c>
      <c r="E158" t="s">
        <v>113</v>
      </c>
      <c r="F158">
        <v>22.6</v>
      </c>
    </row>
    <row r="159" spans="1:6" x14ac:dyDescent="0.2">
      <c r="A159" s="7" t="s">
        <v>84</v>
      </c>
      <c r="B159">
        <v>71217</v>
      </c>
      <c r="C159">
        <v>58</v>
      </c>
      <c r="D159">
        <v>10</v>
      </c>
      <c r="E159" t="s">
        <v>113</v>
      </c>
      <c r="F159">
        <v>22.6</v>
      </c>
    </row>
    <row r="160" spans="1:6" x14ac:dyDescent="0.2">
      <c r="A160" s="7" t="s">
        <v>84</v>
      </c>
      <c r="B160">
        <v>71217</v>
      </c>
      <c r="C160">
        <v>59</v>
      </c>
      <c r="D160">
        <v>10</v>
      </c>
      <c r="E160" t="s">
        <v>113</v>
      </c>
      <c r="F160" t="s">
        <v>115</v>
      </c>
    </row>
    <row r="161" spans="1:6" x14ac:dyDescent="0.2">
      <c r="A161" s="7" t="s">
        <v>84</v>
      </c>
      <c r="B161">
        <v>71217</v>
      </c>
      <c r="C161">
        <v>60</v>
      </c>
      <c r="D161">
        <v>10</v>
      </c>
      <c r="E161" t="s">
        <v>113</v>
      </c>
      <c r="F161" t="s">
        <v>115</v>
      </c>
    </row>
    <row r="162" spans="1:6" x14ac:dyDescent="0.2">
      <c r="A162" s="7" t="s">
        <v>84</v>
      </c>
      <c r="B162">
        <v>71217</v>
      </c>
      <c r="C162">
        <v>61</v>
      </c>
      <c r="D162">
        <v>10</v>
      </c>
      <c r="E162" t="s">
        <v>112</v>
      </c>
      <c r="F162">
        <v>64</v>
      </c>
    </row>
    <row r="163" spans="1:6" x14ac:dyDescent="0.2">
      <c r="A163" s="7" t="s">
        <v>84</v>
      </c>
      <c r="B163">
        <v>71217</v>
      </c>
      <c r="C163">
        <v>62</v>
      </c>
      <c r="D163">
        <v>10</v>
      </c>
      <c r="E163" t="s">
        <v>112</v>
      </c>
      <c r="F163" t="s">
        <v>115</v>
      </c>
    </row>
    <row r="164" spans="1:6" x14ac:dyDescent="0.2">
      <c r="A164" s="7" t="s">
        <v>84</v>
      </c>
      <c r="B164">
        <v>71217</v>
      </c>
      <c r="C164">
        <v>63</v>
      </c>
      <c r="D164">
        <v>10</v>
      </c>
      <c r="E164" t="s">
        <v>112</v>
      </c>
      <c r="F164" t="s">
        <v>115</v>
      </c>
    </row>
    <row r="165" spans="1:6" x14ac:dyDescent="0.2">
      <c r="A165" s="7" t="s">
        <v>84</v>
      </c>
      <c r="B165">
        <v>71217</v>
      </c>
      <c r="C165">
        <v>64</v>
      </c>
      <c r="D165">
        <v>11</v>
      </c>
      <c r="E165" t="s">
        <v>113</v>
      </c>
      <c r="F165" t="s">
        <v>115</v>
      </c>
    </row>
    <row r="166" spans="1:6" x14ac:dyDescent="0.2">
      <c r="A166" s="7" t="s">
        <v>84</v>
      </c>
      <c r="B166">
        <v>71217</v>
      </c>
      <c r="C166">
        <v>65</v>
      </c>
      <c r="D166">
        <v>11</v>
      </c>
      <c r="E166" t="s">
        <v>112</v>
      </c>
      <c r="F166">
        <v>2.8</v>
      </c>
    </row>
    <row r="167" spans="1:6" x14ac:dyDescent="0.2">
      <c r="A167" s="7" t="s">
        <v>84</v>
      </c>
      <c r="B167">
        <v>71217</v>
      </c>
      <c r="C167">
        <v>66</v>
      </c>
      <c r="D167">
        <v>11</v>
      </c>
      <c r="E167" t="s">
        <v>113</v>
      </c>
      <c r="F167" t="s">
        <v>115</v>
      </c>
    </row>
    <row r="168" spans="1:6" x14ac:dyDescent="0.2">
      <c r="A168" s="7" t="s">
        <v>84</v>
      </c>
      <c r="B168">
        <v>71217</v>
      </c>
      <c r="C168">
        <v>67</v>
      </c>
      <c r="D168">
        <v>11</v>
      </c>
      <c r="E168" t="s">
        <v>113</v>
      </c>
      <c r="F168" t="s">
        <v>115</v>
      </c>
    </row>
    <row r="169" spans="1:6" x14ac:dyDescent="0.2">
      <c r="A169" s="7" t="s">
        <v>84</v>
      </c>
      <c r="B169">
        <v>71217</v>
      </c>
      <c r="C169">
        <v>68</v>
      </c>
      <c r="D169">
        <v>12</v>
      </c>
      <c r="E169" t="s">
        <v>112</v>
      </c>
      <c r="F169">
        <v>8</v>
      </c>
    </row>
    <row r="170" spans="1:6" x14ac:dyDescent="0.2">
      <c r="A170" s="7" t="s">
        <v>84</v>
      </c>
      <c r="B170">
        <v>71217</v>
      </c>
      <c r="C170">
        <v>69</v>
      </c>
      <c r="D170">
        <v>12</v>
      </c>
      <c r="E170" t="s">
        <v>112</v>
      </c>
      <c r="F170">
        <v>45</v>
      </c>
    </row>
    <row r="171" spans="1:6" x14ac:dyDescent="0.2">
      <c r="A171" s="7" t="s">
        <v>84</v>
      </c>
      <c r="B171">
        <v>71217</v>
      </c>
      <c r="C171">
        <v>70</v>
      </c>
      <c r="D171">
        <v>12</v>
      </c>
      <c r="E171" t="s">
        <v>112</v>
      </c>
      <c r="F171" t="s">
        <v>115</v>
      </c>
    </row>
    <row r="172" spans="1:6" x14ac:dyDescent="0.2">
      <c r="A172" s="7" t="s">
        <v>84</v>
      </c>
      <c r="B172">
        <v>71217</v>
      </c>
      <c r="C172">
        <v>71</v>
      </c>
      <c r="D172">
        <v>12</v>
      </c>
      <c r="E172" t="s">
        <v>113</v>
      </c>
      <c r="F172" t="s">
        <v>115</v>
      </c>
    </row>
    <row r="173" spans="1:6" x14ac:dyDescent="0.2">
      <c r="A173" s="7" t="s">
        <v>84</v>
      </c>
      <c r="B173">
        <v>71217</v>
      </c>
      <c r="C173">
        <v>72</v>
      </c>
      <c r="D173">
        <v>12</v>
      </c>
      <c r="E173" t="s">
        <v>113</v>
      </c>
      <c r="F173" t="s">
        <v>115</v>
      </c>
    </row>
    <row r="174" spans="1:6" x14ac:dyDescent="0.2">
      <c r="A174" s="7" t="s">
        <v>84</v>
      </c>
      <c r="B174">
        <v>71217</v>
      </c>
      <c r="C174">
        <v>73</v>
      </c>
      <c r="D174">
        <v>12</v>
      </c>
      <c r="E174" t="s">
        <v>113</v>
      </c>
      <c r="F174" t="s">
        <v>115</v>
      </c>
    </row>
    <row r="175" spans="1:6" x14ac:dyDescent="0.2">
      <c r="A175" s="7" t="s">
        <v>84</v>
      </c>
      <c r="B175">
        <v>71217</v>
      </c>
      <c r="C175">
        <v>74</v>
      </c>
      <c r="D175">
        <v>12</v>
      </c>
      <c r="E175" t="s">
        <v>112</v>
      </c>
      <c r="F175">
        <v>32</v>
      </c>
    </row>
    <row r="176" spans="1:6" x14ac:dyDescent="0.2">
      <c r="A176" s="7" t="s">
        <v>84</v>
      </c>
      <c r="B176">
        <v>71217</v>
      </c>
      <c r="C176">
        <v>75</v>
      </c>
      <c r="D176">
        <v>12</v>
      </c>
      <c r="E176" t="s">
        <v>112</v>
      </c>
      <c r="F176">
        <v>6</v>
      </c>
    </row>
    <row r="177" spans="1:6" x14ac:dyDescent="0.2">
      <c r="A177" s="7" t="s">
        <v>84</v>
      </c>
      <c r="B177">
        <v>71217</v>
      </c>
      <c r="C177">
        <v>76</v>
      </c>
      <c r="D177">
        <v>12</v>
      </c>
      <c r="E177" t="s">
        <v>113</v>
      </c>
      <c r="F177" t="s">
        <v>115</v>
      </c>
    </row>
    <row r="178" spans="1:6" x14ac:dyDescent="0.2">
      <c r="A178" s="7" t="s">
        <v>84</v>
      </c>
      <c r="B178">
        <v>71217</v>
      </c>
      <c r="C178">
        <v>77</v>
      </c>
      <c r="D178">
        <v>13</v>
      </c>
      <c r="E178" t="s">
        <v>113</v>
      </c>
      <c r="F178" t="s">
        <v>115</v>
      </c>
    </row>
    <row r="179" spans="1:6" x14ac:dyDescent="0.2">
      <c r="A179" s="7" t="s">
        <v>84</v>
      </c>
      <c r="B179">
        <v>71217</v>
      </c>
      <c r="C179">
        <v>78</v>
      </c>
      <c r="D179">
        <v>13</v>
      </c>
      <c r="E179" t="s">
        <v>112</v>
      </c>
      <c r="F179">
        <v>8</v>
      </c>
    </row>
    <row r="180" spans="1:6" x14ac:dyDescent="0.2">
      <c r="A180" s="7" t="s">
        <v>84</v>
      </c>
      <c r="B180">
        <v>71217</v>
      </c>
      <c r="C180">
        <v>79</v>
      </c>
      <c r="D180">
        <v>13</v>
      </c>
      <c r="E180" t="s">
        <v>112</v>
      </c>
      <c r="F180" t="s">
        <v>115</v>
      </c>
    </row>
    <row r="181" spans="1:6" x14ac:dyDescent="0.2">
      <c r="A181" s="7" t="s">
        <v>84</v>
      </c>
      <c r="B181">
        <v>71217</v>
      </c>
      <c r="C181">
        <v>80</v>
      </c>
      <c r="D181">
        <v>13</v>
      </c>
      <c r="E181" t="s">
        <v>113</v>
      </c>
      <c r="F181" t="s">
        <v>115</v>
      </c>
    </row>
    <row r="182" spans="1:6" x14ac:dyDescent="0.2">
      <c r="A182" s="7" t="s">
        <v>84</v>
      </c>
      <c r="B182">
        <v>71217</v>
      </c>
      <c r="C182">
        <v>81</v>
      </c>
      <c r="D182">
        <v>14</v>
      </c>
      <c r="E182" t="s">
        <v>113</v>
      </c>
      <c r="F182" t="s">
        <v>115</v>
      </c>
    </row>
    <row r="183" spans="1:6" x14ac:dyDescent="0.2">
      <c r="A183" s="7" t="s">
        <v>84</v>
      </c>
      <c r="B183">
        <v>71217</v>
      </c>
      <c r="C183">
        <v>82</v>
      </c>
      <c r="D183">
        <v>14</v>
      </c>
      <c r="E183" t="s">
        <v>113</v>
      </c>
      <c r="F183" t="s">
        <v>115</v>
      </c>
    </row>
    <row r="184" spans="1:6" x14ac:dyDescent="0.2">
      <c r="A184" s="7" t="s">
        <v>84</v>
      </c>
      <c r="B184">
        <v>71217</v>
      </c>
      <c r="C184">
        <v>83</v>
      </c>
      <c r="D184">
        <v>14</v>
      </c>
      <c r="E184" t="s">
        <v>112</v>
      </c>
      <c r="F184">
        <v>5.6</v>
      </c>
    </row>
    <row r="185" spans="1:6" x14ac:dyDescent="0.2">
      <c r="A185" s="7" t="s">
        <v>84</v>
      </c>
      <c r="B185">
        <v>71217</v>
      </c>
      <c r="C185">
        <v>84</v>
      </c>
      <c r="D185" t="s">
        <v>26</v>
      </c>
      <c r="E185" t="s">
        <v>26</v>
      </c>
      <c r="F185" t="s">
        <v>26</v>
      </c>
    </row>
    <row r="186" spans="1:6" x14ac:dyDescent="0.2">
      <c r="A186" s="7" t="s">
        <v>84</v>
      </c>
      <c r="B186">
        <v>71217</v>
      </c>
      <c r="C186">
        <v>85</v>
      </c>
      <c r="D186" t="s">
        <v>26</v>
      </c>
      <c r="E186" t="s">
        <v>26</v>
      </c>
      <c r="F186" t="s">
        <v>26</v>
      </c>
    </row>
    <row r="187" spans="1:6" x14ac:dyDescent="0.2">
      <c r="A187" s="7" t="s">
        <v>84</v>
      </c>
      <c r="B187">
        <v>71217</v>
      </c>
      <c r="C187">
        <v>86</v>
      </c>
      <c r="D187" t="s">
        <v>26</v>
      </c>
      <c r="E187" t="s">
        <v>26</v>
      </c>
      <c r="F187" t="s">
        <v>26</v>
      </c>
    </row>
    <row r="188" spans="1:6" x14ac:dyDescent="0.2">
      <c r="A188" s="7" t="s">
        <v>84</v>
      </c>
      <c r="B188">
        <v>71217</v>
      </c>
      <c r="C188">
        <v>87</v>
      </c>
      <c r="D188" t="s">
        <v>26</v>
      </c>
      <c r="E188" t="s">
        <v>26</v>
      </c>
      <c r="F188" t="s">
        <v>26</v>
      </c>
    </row>
    <row r="189" spans="1:6" x14ac:dyDescent="0.2">
      <c r="A189" s="7" t="s">
        <v>84</v>
      </c>
      <c r="B189">
        <v>71217</v>
      </c>
      <c r="C189">
        <v>88</v>
      </c>
      <c r="D189" t="s">
        <v>26</v>
      </c>
      <c r="E189" t="s">
        <v>26</v>
      </c>
      <c r="F189" t="s">
        <v>26</v>
      </c>
    </row>
    <row r="190" spans="1:6" x14ac:dyDescent="0.2">
      <c r="A190" s="7" t="s">
        <v>84</v>
      </c>
      <c r="B190">
        <v>71217</v>
      </c>
      <c r="C190">
        <v>89</v>
      </c>
      <c r="D190" t="s">
        <v>26</v>
      </c>
      <c r="E190" t="s">
        <v>26</v>
      </c>
      <c r="F190" t="s">
        <v>26</v>
      </c>
    </row>
    <row r="191" spans="1:6" x14ac:dyDescent="0.2">
      <c r="A191" s="7" t="s">
        <v>84</v>
      </c>
      <c r="B191">
        <v>71217</v>
      </c>
      <c r="C191">
        <v>90</v>
      </c>
      <c r="D191" t="s">
        <v>26</v>
      </c>
      <c r="E191" t="s">
        <v>26</v>
      </c>
      <c r="F191" t="s">
        <v>26</v>
      </c>
    </row>
    <row r="192" spans="1:6" x14ac:dyDescent="0.2">
      <c r="A192" s="7" t="s">
        <v>84</v>
      </c>
      <c r="B192">
        <v>71217</v>
      </c>
      <c r="C192">
        <v>91</v>
      </c>
      <c r="D192" t="s">
        <v>26</v>
      </c>
      <c r="E192" t="s">
        <v>26</v>
      </c>
      <c r="F192" t="s">
        <v>26</v>
      </c>
    </row>
    <row r="193" spans="1:7" x14ac:dyDescent="0.2">
      <c r="A193" s="7" t="s">
        <v>84</v>
      </c>
      <c r="B193">
        <v>71217</v>
      </c>
      <c r="C193">
        <v>92</v>
      </c>
      <c r="D193" t="s">
        <v>26</v>
      </c>
      <c r="E193" t="s">
        <v>26</v>
      </c>
      <c r="F193" t="s">
        <v>26</v>
      </c>
    </row>
    <row r="194" spans="1:7" x14ac:dyDescent="0.2">
      <c r="A194" s="7" t="s">
        <v>84</v>
      </c>
      <c r="B194">
        <v>71217</v>
      </c>
      <c r="C194">
        <v>93</v>
      </c>
      <c r="D194" t="s">
        <v>26</v>
      </c>
      <c r="E194" t="s">
        <v>26</v>
      </c>
      <c r="F194" t="s">
        <v>26</v>
      </c>
    </row>
    <row r="195" spans="1:7" x14ac:dyDescent="0.2">
      <c r="A195" s="7" t="s">
        <v>84</v>
      </c>
      <c r="B195">
        <v>71217</v>
      </c>
      <c r="C195">
        <v>94</v>
      </c>
      <c r="D195" t="s">
        <v>26</v>
      </c>
      <c r="E195" t="s">
        <v>26</v>
      </c>
      <c r="F195" t="s">
        <v>26</v>
      </c>
    </row>
    <row r="196" spans="1:7" x14ac:dyDescent="0.2">
      <c r="A196" s="7" t="s">
        <v>84</v>
      </c>
      <c r="B196">
        <v>71217</v>
      </c>
      <c r="C196">
        <v>95</v>
      </c>
      <c r="D196" t="s">
        <v>26</v>
      </c>
      <c r="E196" t="s">
        <v>26</v>
      </c>
      <c r="F196" t="s">
        <v>26</v>
      </c>
    </row>
    <row r="197" spans="1:7" x14ac:dyDescent="0.2">
      <c r="A197" s="7" t="s">
        <v>84</v>
      </c>
      <c r="B197">
        <v>71217</v>
      </c>
      <c r="C197">
        <v>96</v>
      </c>
      <c r="D197" t="s">
        <v>26</v>
      </c>
      <c r="E197" t="s">
        <v>26</v>
      </c>
      <c r="F197" t="s">
        <v>26</v>
      </c>
    </row>
    <row r="198" spans="1:7" x14ac:dyDescent="0.2">
      <c r="A198" s="7" t="s">
        <v>84</v>
      </c>
      <c r="B198">
        <v>71217</v>
      </c>
      <c r="C198">
        <v>97</v>
      </c>
      <c r="D198" t="s">
        <v>26</v>
      </c>
      <c r="E198" t="s">
        <v>26</v>
      </c>
      <c r="F198" t="s">
        <v>26</v>
      </c>
    </row>
    <row r="199" spans="1:7" x14ac:dyDescent="0.2">
      <c r="A199" s="7" t="s">
        <v>84</v>
      </c>
      <c r="B199">
        <v>71217</v>
      </c>
      <c r="C199">
        <v>98</v>
      </c>
      <c r="D199" t="s">
        <v>26</v>
      </c>
      <c r="E199" t="s">
        <v>26</v>
      </c>
      <c r="F199" t="s">
        <v>26</v>
      </c>
    </row>
    <row r="200" spans="1:7" x14ac:dyDescent="0.2">
      <c r="A200" s="7" t="s">
        <v>84</v>
      </c>
      <c r="B200">
        <v>71217</v>
      </c>
      <c r="C200">
        <v>99</v>
      </c>
      <c r="D200" t="s">
        <v>26</v>
      </c>
      <c r="E200" t="s">
        <v>26</v>
      </c>
      <c r="F200" t="s">
        <v>26</v>
      </c>
    </row>
    <row r="201" spans="1:7" x14ac:dyDescent="0.2">
      <c r="A201" s="7" t="s">
        <v>84</v>
      </c>
      <c r="B201">
        <v>71217</v>
      </c>
      <c r="C201">
        <v>100</v>
      </c>
      <c r="D201" t="s">
        <v>26</v>
      </c>
      <c r="E201" t="s">
        <v>26</v>
      </c>
      <c r="F201" t="s">
        <v>26</v>
      </c>
    </row>
    <row r="202" spans="1:7" x14ac:dyDescent="0.2">
      <c r="A202" s="7" t="s">
        <v>83</v>
      </c>
      <c r="B202">
        <v>71317</v>
      </c>
      <c r="C202">
        <v>1</v>
      </c>
      <c r="D202" t="s">
        <v>26</v>
      </c>
      <c r="E202" t="s">
        <v>26</v>
      </c>
      <c r="F202" t="s">
        <v>26</v>
      </c>
      <c r="G202" t="s">
        <v>116</v>
      </c>
    </row>
    <row r="203" spans="1:7" x14ac:dyDescent="0.2">
      <c r="A203" s="7" t="s">
        <v>83</v>
      </c>
      <c r="B203">
        <v>71317</v>
      </c>
      <c r="C203">
        <v>2</v>
      </c>
      <c r="D203" t="s">
        <v>26</v>
      </c>
      <c r="E203" t="s">
        <v>26</v>
      </c>
      <c r="F203" t="s">
        <v>26</v>
      </c>
      <c r="G203" t="s">
        <v>116</v>
      </c>
    </row>
    <row r="204" spans="1:7" x14ac:dyDescent="0.2">
      <c r="A204" s="7" t="s">
        <v>83</v>
      </c>
      <c r="B204">
        <v>71317</v>
      </c>
      <c r="C204">
        <v>3</v>
      </c>
      <c r="D204" t="s">
        <v>26</v>
      </c>
      <c r="E204" t="s">
        <v>26</v>
      </c>
      <c r="F204" t="s">
        <v>26</v>
      </c>
      <c r="G204" t="s">
        <v>116</v>
      </c>
    </row>
    <row r="205" spans="1:7" x14ac:dyDescent="0.2">
      <c r="A205" s="7" t="s">
        <v>83</v>
      </c>
      <c r="B205">
        <v>71317</v>
      </c>
      <c r="C205">
        <v>4</v>
      </c>
      <c r="D205" t="s">
        <v>26</v>
      </c>
      <c r="E205" t="s">
        <v>26</v>
      </c>
      <c r="F205" t="s">
        <v>26</v>
      </c>
      <c r="G205" t="s">
        <v>116</v>
      </c>
    </row>
    <row r="206" spans="1:7" x14ac:dyDescent="0.2">
      <c r="A206" s="7" t="s">
        <v>83</v>
      </c>
      <c r="B206">
        <v>71317</v>
      </c>
      <c r="C206">
        <v>5</v>
      </c>
      <c r="D206" t="s">
        <v>26</v>
      </c>
      <c r="E206" t="s">
        <v>26</v>
      </c>
      <c r="F206" t="s">
        <v>26</v>
      </c>
      <c r="G206" t="s">
        <v>116</v>
      </c>
    </row>
    <row r="207" spans="1:7" x14ac:dyDescent="0.2">
      <c r="A207" s="7" t="s">
        <v>83</v>
      </c>
      <c r="B207">
        <v>71317</v>
      </c>
      <c r="C207">
        <v>6</v>
      </c>
      <c r="D207" t="s">
        <v>26</v>
      </c>
      <c r="E207" t="s">
        <v>26</v>
      </c>
      <c r="F207" t="s">
        <v>26</v>
      </c>
      <c r="G207" t="s">
        <v>116</v>
      </c>
    </row>
    <row r="208" spans="1:7" x14ac:dyDescent="0.2">
      <c r="A208" s="7" t="s">
        <v>83</v>
      </c>
      <c r="B208">
        <v>71317</v>
      </c>
      <c r="C208">
        <v>7</v>
      </c>
      <c r="D208" t="s">
        <v>26</v>
      </c>
      <c r="E208" t="s">
        <v>26</v>
      </c>
      <c r="F208" t="s">
        <v>26</v>
      </c>
      <c r="G208" t="s">
        <v>116</v>
      </c>
    </row>
    <row r="209" spans="1:7" x14ac:dyDescent="0.2">
      <c r="A209" s="7" t="s">
        <v>83</v>
      </c>
      <c r="B209">
        <v>71317</v>
      </c>
      <c r="C209">
        <v>8</v>
      </c>
      <c r="D209" t="s">
        <v>26</v>
      </c>
      <c r="E209" t="s">
        <v>26</v>
      </c>
      <c r="F209" t="s">
        <v>26</v>
      </c>
      <c r="G209" t="s">
        <v>116</v>
      </c>
    </row>
    <row r="210" spans="1:7" x14ac:dyDescent="0.2">
      <c r="A210" s="7" t="s">
        <v>83</v>
      </c>
      <c r="B210">
        <v>71317</v>
      </c>
      <c r="C210">
        <v>9</v>
      </c>
      <c r="D210" t="s">
        <v>26</v>
      </c>
      <c r="E210" t="s">
        <v>26</v>
      </c>
      <c r="F210" t="s">
        <v>26</v>
      </c>
      <c r="G210" t="s">
        <v>116</v>
      </c>
    </row>
    <row r="211" spans="1:7" x14ac:dyDescent="0.2">
      <c r="A211" s="7" t="s">
        <v>83</v>
      </c>
      <c r="B211">
        <v>71317</v>
      </c>
      <c r="C211">
        <v>10</v>
      </c>
      <c r="D211" t="s">
        <v>26</v>
      </c>
      <c r="E211" t="s">
        <v>26</v>
      </c>
      <c r="F211" t="s">
        <v>26</v>
      </c>
      <c r="G211" t="s">
        <v>116</v>
      </c>
    </row>
    <row r="212" spans="1:7" x14ac:dyDescent="0.2">
      <c r="A212" s="7" t="s">
        <v>83</v>
      </c>
      <c r="B212">
        <v>71317</v>
      </c>
      <c r="C212">
        <v>11</v>
      </c>
      <c r="D212" t="s">
        <v>26</v>
      </c>
      <c r="E212" t="s">
        <v>26</v>
      </c>
      <c r="F212" t="s">
        <v>26</v>
      </c>
      <c r="G212" t="s">
        <v>116</v>
      </c>
    </row>
    <row r="213" spans="1:7" x14ac:dyDescent="0.2">
      <c r="A213" s="7" t="s">
        <v>83</v>
      </c>
      <c r="B213">
        <v>71317</v>
      </c>
      <c r="C213">
        <v>12</v>
      </c>
      <c r="D213" t="s">
        <v>26</v>
      </c>
      <c r="E213" t="s">
        <v>26</v>
      </c>
      <c r="F213" t="s">
        <v>26</v>
      </c>
      <c r="G213" t="s">
        <v>116</v>
      </c>
    </row>
    <row r="214" spans="1:7" x14ac:dyDescent="0.2">
      <c r="A214" s="7" t="s">
        <v>83</v>
      </c>
      <c r="B214">
        <v>71317</v>
      </c>
      <c r="C214">
        <v>13</v>
      </c>
      <c r="D214" t="s">
        <v>26</v>
      </c>
      <c r="E214" t="s">
        <v>26</v>
      </c>
      <c r="F214" t="s">
        <v>26</v>
      </c>
      <c r="G214" t="s">
        <v>116</v>
      </c>
    </row>
    <row r="215" spans="1:7" x14ac:dyDescent="0.2">
      <c r="A215" s="7" t="s">
        <v>83</v>
      </c>
      <c r="B215">
        <v>71317</v>
      </c>
      <c r="C215">
        <v>14</v>
      </c>
      <c r="D215" t="s">
        <v>26</v>
      </c>
      <c r="E215" t="s">
        <v>26</v>
      </c>
      <c r="F215" t="s">
        <v>26</v>
      </c>
      <c r="G215" t="s">
        <v>116</v>
      </c>
    </row>
    <row r="216" spans="1:7" x14ac:dyDescent="0.2">
      <c r="A216" s="7" t="s">
        <v>83</v>
      </c>
      <c r="B216">
        <v>71317</v>
      </c>
      <c r="C216">
        <v>15</v>
      </c>
      <c r="D216" t="s">
        <v>26</v>
      </c>
      <c r="E216" t="s">
        <v>26</v>
      </c>
      <c r="F216" t="s">
        <v>26</v>
      </c>
      <c r="G216" t="s">
        <v>116</v>
      </c>
    </row>
    <row r="217" spans="1:7" x14ac:dyDescent="0.2">
      <c r="A217" s="7" t="s">
        <v>83</v>
      </c>
      <c r="B217">
        <v>71317</v>
      </c>
      <c r="C217">
        <v>16</v>
      </c>
      <c r="D217" t="s">
        <v>26</v>
      </c>
      <c r="E217" t="s">
        <v>26</v>
      </c>
      <c r="F217" t="s">
        <v>26</v>
      </c>
      <c r="G217" t="s">
        <v>116</v>
      </c>
    </row>
    <row r="218" spans="1:7" x14ac:dyDescent="0.2">
      <c r="A218" s="7" t="s">
        <v>83</v>
      </c>
      <c r="B218">
        <v>71317</v>
      </c>
      <c r="C218">
        <v>17</v>
      </c>
      <c r="D218" t="s">
        <v>26</v>
      </c>
      <c r="E218" t="s">
        <v>26</v>
      </c>
      <c r="F218" t="s">
        <v>26</v>
      </c>
      <c r="G218" t="s">
        <v>116</v>
      </c>
    </row>
    <row r="219" spans="1:7" x14ac:dyDescent="0.2">
      <c r="A219" s="7" t="s">
        <v>83</v>
      </c>
      <c r="B219">
        <v>71317</v>
      </c>
      <c r="C219">
        <v>18</v>
      </c>
      <c r="D219" t="s">
        <v>26</v>
      </c>
      <c r="E219" t="s">
        <v>26</v>
      </c>
      <c r="F219" t="s">
        <v>26</v>
      </c>
      <c r="G219" t="s">
        <v>116</v>
      </c>
    </row>
    <row r="220" spans="1:7" x14ac:dyDescent="0.2">
      <c r="A220" s="7" t="s">
        <v>83</v>
      </c>
      <c r="B220">
        <v>71317</v>
      </c>
      <c r="C220">
        <v>19</v>
      </c>
      <c r="D220" t="s">
        <v>26</v>
      </c>
      <c r="E220" t="s">
        <v>26</v>
      </c>
      <c r="F220" t="s">
        <v>26</v>
      </c>
      <c r="G220" t="s">
        <v>116</v>
      </c>
    </row>
    <row r="221" spans="1:7" x14ac:dyDescent="0.2">
      <c r="A221" s="7" t="s">
        <v>83</v>
      </c>
      <c r="B221">
        <v>71317</v>
      </c>
      <c r="C221">
        <v>20</v>
      </c>
      <c r="D221" t="s">
        <v>26</v>
      </c>
      <c r="E221" t="s">
        <v>26</v>
      </c>
      <c r="F221" t="s">
        <v>26</v>
      </c>
      <c r="G221" t="s">
        <v>116</v>
      </c>
    </row>
    <row r="222" spans="1:7" x14ac:dyDescent="0.2">
      <c r="A222" s="7" t="s">
        <v>83</v>
      </c>
      <c r="B222">
        <v>71317</v>
      </c>
      <c r="C222">
        <v>21</v>
      </c>
      <c r="D222" t="s">
        <v>26</v>
      </c>
      <c r="E222" t="s">
        <v>26</v>
      </c>
      <c r="F222" t="s">
        <v>26</v>
      </c>
      <c r="G222" t="s">
        <v>116</v>
      </c>
    </row>
    <row r="223" spans="1:7" x14ac:dyDescent="0.2">
      <c r="A223" s="7" t="s">
        <v>83</v>
      </c>
      <c r="B223">
        <v>71317</v>
      </c>
      <c r="C223">
        <v>22</v>
      </c>
      <c r="D223" t="s">
        <v>26</v>
      </c>
      <c r="E223" t="s">
        <v>26</v>
      </c>
      <c r="F223" t="s">
        <v>26</v>
      </c>
      <c r="G223" t="s">
        <v>116</v>
      </c>
    </row>
    <row r="224" spans="1:7" x14ac:dyDescent="0.2">
      <c r="A224" s="7" t="s">
        <v>83</v>
      </c>
      <c r="B224">
        <v>71317</v>
      </c>
      <c r="C224">
        <v>23</v>
      </c>
      <c r="D224" t="s">
        <v>26</v>
      </c>
      <c r="E224" t="s">
        <v>26</v>
      </c>
      <c r="F224" t="s">
        <v>26</v>
      </c>
      <c r="G224" t="s">
        <v>116</v>
      </c>
    </row>
    <row r="225" spans="1:7" x14ac:dyDescent="0.2">
      <c r="A225" s="7" t="s">
        <v>83</v>
      </c>
      <c r="B225">
        <v>71317</v>
      </c>
      <c r="C225">
        <v>24</v>
      </c>
      <c r="D225" t="s">
        <v>26</v>
      </c>
      <c r="E225" t="s">
        <v>26</v>
      </c>
      <c r="F225" t="s">
        <v>26</v>
      </c>
      <c r="G225" t="s">
        <v>116</v>
      </c>
    </row>
    <row r="226" spans="1:7" x14ac:dyDescent="0.2">
      <c r="A226" s="7" t="s">
        <v>83</v>
      </c>
      <c r="B226">
        <v>71317</v>
      </c>
      <c r="C226">
        <v>25</v>
      </c>
      <c r="D226" t="s">
        <v>26</v>
      </c>
      <c r="E226" t="s">
        <v>26</v>
      </c>
      <c r="F226" t="s">
        <v>26</v>
      </c>
      <c r="G226" t="s">
        <v>116</v>
      </c>
    </row>
    <row r="227" spans="1:7" x14ac:dyDescent="0.2">
      <c r="A227" s="7" t="s">
        <v>83</v>
      </c>
      <c r="B227">
        <v>71317</v>
      </c>
      <c r="C227">
        <v>26</v>
      </c>
      <c r="D227" t="s">
        <v>26</v>
      </c>
      <c r="E227" t="s">
        <v>26</v>
      </c>
      <c r="F227" t="s">
        <v>26</v>
      </c>
      <c r="G227" t="s">
        <v>116</v>
      </c>
    </row>
    <row r="228" spans="1:7" x14ac:dyDescent="0.2">
      <c r="A228" s="7" t="s">
        <v>83</v>
      </c>
      <c r="B228">
        <v>71317</v>
      </c>
      <c r="C228">
        <v>27</v>
      </c>
      <c r="D228" t="s">
        <v>26</v>
      </c>
      <c r="E228" t="s">
        <v>26</v>
      </c>
      <c r="F228" t="s">
        <v>26</v>
      </c>
      <c r="G228" t="s">
        <v>116</v>
      </c>
    </row>
    <row r="229" spans="1:7" x14ac:dyDescent="0.2">
      <c r="A229" s="7" t="s">
        <v>83</v>
      </c>
      <c r="B229">
        <v>71317</v>
      </c>
      <c r="C229">
        <v>28</v>
      </c>
      <c r="D229" t="s">
        <v>26</v>
      </c>
      <c r="E229" t="s">
        <v>26</v>
      </c>
      <c r="F229" t="s">
        <v>26</v>
      </c>
      <c r="G229" t="s">
        <v>116</v>
      </c>
    </row>
    <row r="230" spans="1:7" x14ac:dyDescent="0.2">
      <c r="A230" s="7" t="s">
        <v>83</v>
      </c>
      <c r="B230">
        <v>71317</v>
      </c>
      <c r="C230">
        <v>29</v>
      </c>
      <c r="D230" t="s">
        <v>26</v>
      </c>
      <c r="E230" t="s">
        <v>26</v>
      </c>
      <c r="F230" t="s">
        <v>26</v>
      </c>
      <c r="G230" t="s">
        <v>116</v>
      </c>
    </row>
    <row r="231" spans="1:7" x14ac:dyDescent="0.2">
      <c r="A231" s="7" t="s">
        <v>83</v>
      </c>
      <c r="B231">
        <v>71317</v>
      </c>
      <c r="C231">
        <v>30</v>
      </c>
      <c r="D231" t="s">
        <v>26</v>
      </c>
      <c r="E231" t="s">
        <v>26</v>
      </c>
      <c r="F231" t="s">
        <v>26</v>
      </c>
      <c r="G231" t="s">
        <v>116</v>
      </c>
    </row>
    <row r="232" spans="1:7" x14ac:dyDescent="0.2">
      <c r="A232" s="7" t="s">
        <v>83</v>
      </c>
      <c r="B232">
        <v>71317</v>
      </c>
      <c r="C232">
        <v>31</v>
      </c>
      <c r="D232" t="s">
        <v>26</v>
      </c>
      <c r="E232" t="s">
        <v>26</v>
      </c>
      <c r="F232" t="s">
        <v>26</v>
      </c>
      <c r="G232" t="s">
        <v>116</v>
      </c>
    </row>
    <row r="233" spans="1:7" x14ac:dyDescent="0.2">
      <c r="A233" s="7" t="s">
        <v>83</v>
      </c>
      <c r="B233">
        <v>71317</v>
      </c>
      <c r="C233">
        <v>32</v>
      </c>
      <c r="D233" t="s">
        <v>26</v>
      </c>
      <c r="E233" t="s">
        <v>26</v>
      </c>
      <c r="F233" t="s">
        <v>26</v>
      </c>
      <c r="G233" t="s">
        <v>116</v>
      </c>
    </row>
    <row r="234" spans="1:7" x14ac:dyDescent="0.2">
      <c r="A234" s="7" t="s">
        <v>83</v>
      </c>
      <c r="B234">
        <v>71317</v>
      </c>
      <c r="C234">
        <v>33</v>
      </c>
      <c r="D234" t="s">
        <v>26</v>
      </c>
      <c r="E234" t="s">
        <v>26</v>
      </c>
      <c r="F234" t="s">
        <v>26</v>
      </c>
      <c r="G234" t="s">
        <v>116</v>
      </c>
    </row>
    <row r="235" spans="1:7" x14ac:dyDescent="0.2">
      <c r="A235" s="7" t="s">
        <v>83</v>
      </c>
      <c r="B235">
        <v>71317</v>
      </c>
      <c r="C235">
        <v>34</v>
      </c>
      <c r="D235" t="s">
        <v>26</v>
      </c>
      <c r="E235" t="s">
        <v>26</v>
      </c>
      <c r="F235" t="s">
        <v>26</v>
      </c>
      <c r="G235" t="s">
        <v>116</v>
      </c>
    </row>
    <row r="236" spans="1:7" x14ac:dyDescent="0.2">
      <c r="A236" s="7" t="s">
        <v>83</v>
      </c>
      <c r="B236">
        <v>71317</v>
      </c>
      <c r="C236">
        <v>35</v>
      </c>
      <c r="D236" t="s">
        <v>26</v>
      </c>
      <c r="E236" t="s">
        <v>26</v>
      </c>
      <c r="F236" t="s">
        <v>26</v>
      </c>
      <c r="G236" t="s">
        <v>116</v>
      </c>
    </row>
    <row r="237" spans="1:7" x14ac:dyDescent="0.2">
      <c r="A237" s="7" t="s">
        <v>83</v>
      </c>
      <c r="B237">
        <v>71317</v>
      </c>
      <c r="C237">
        <v>36</v>
      </c>
      <c r="D237" t="s">
        <v>26</v>
      </c>
      <c r="E237" t="s">
        <v>26</v>
      </c>
      <c r="F237" t="s">
        <v>26</v>
      </c>
      <c r="G237" t="s">
        <v>116</v>
      </c>
    </row>
    <row r="238" spans="1:7" x14ac:dyDescent="0.2">
      <c r="A238" s="7" t="s">
        <v>83</v>
      </c>
      <c r="B238">
        <v>71317</v>
      </c>
      <c r="C238">
        <v>37</v>
      </c>
      <c r="D238" t="s">
        <v>26</v>
      </c>
      <c r="E238" t="s">
        <v>26</v>
      </c>
      <c r="F238" t="s">
        <v>26</v>
      </c>
      <c r="G238" t="s">
        <v>116</v>
      </c>
    </row>
    <row r="239" spans="1:7" x14ac:dyDescent="0.2">
      <c r="A239" s="7" t="s">
        <v>83</v>
      </c>
      <c r="B239">
        <v>71317</v>
      </c>
      <c r="C239">
        <v>38</v>
      </c>
      <c r="D239" t="s">
        <v>26</v>
      </c>
      <c r="E239" t="s">
        <v>26</v>
      </c>
      <c r="F239" t="s">
        <v>26</v>
      </c>
      <c r="G239" t="s">
        <v>116</v>
      </c>
    </row>
    <row r="240" spans="1:7" x14ac:dyDescent="0.2">
      <c r="A240" s="7" t="s">
        <v>83</v>
      </c>
      <c r="B240">
        <v>71317</v>
      </c>
      <c r="C240">
        <v>39</v>
      </c>
      <c r="D240" t="s">
        <v>26</v>
      </c>
      <c r="E240" t="s">
        <v>26</v>
      </c>
      <c r="F240" t="s">
        <v>26</v>
      </c>
      <c r="G240" t="s">
        <v>116</v>
      </c>
    </row>
    <row r="241" spans="1:7" x14ac:dyDescent="0.2">
      <c r="A241" s="7" t="s">
        <v>83</v>
      </c>
      <c r="B241">
        <v>71317</v>
      </c>
      <c r="C241">
        <v>40</v>
      </c>
      <c r="D241" t="s">
        <v>26</v>
      </c>
      <c r="E241" t="s">
        <v>26</v>
      </c>
      <c r="F241" t="s">
        <v>26</v>
      </c>
      <c r="G241" t="s">
        <v>116</v>
      </c>
    </row>
    <row r="242" spans="1:7" x14ac:dyDescent="0.2">
      <c r="A242" s="7" t="s">
        <v>83</v>
      </c>
      <c r="B242">
        <v>71317</v>
      </c>
      <c r="C242">
        <v>41</v>
      </c>
      <c r="D242" t="s">
        <v>26</v>
      </c>
      <c r="E242" t="s">
        <v>26</v>
      </c>
      <c r="F242" t="s">
        <v>26</v>
      </c>
      <c r="G242" t="s">
        <v>116</v>
      </c>
    </row>
    <row r="243" spans="1:7" x14ac:dyDescent="0.2">
      <c r="A243" s="7" t="s">
        <v>83</v>
      </c>
      <c r="B243">
        <v>71317</v>
      </c>
      <c r="C243">
        <v>42</v>
      </c>
      <c r="D243" t="s">
        <v>26</v>
      </c>
      <c r="E243" t="s">
        <v>26</v>
      </c>
      <c r="F243" t="s">
        <v>26</v>
      </c>
      <c r="G243" t="s">
        <v>116</v>
      </c>
    </row>
    <row r="244" spans="1:7" x14ac:dyDescent="0.2">
      <c r="A244" s="7" t="s">
        <v>83</v>
      </c>
      <c r="B244">
        <v>71317</v>
      </c>
      <c r="C244">
        <v>43</v>
      </c>
      <c r="D244" t="s">
        <v>26</v>
      </c>
      <c r="E244" t="s">
        <v>26</v>
      </c>
      <c r="F244" t="s">
        <v>26</v>
      </c>
      <c r="G244" t="s">
        <v>116</v>
      </c>
    </row>
    <row r="245" spans="1:7" x14ac:dyDescent="0.2">
      <c r="A245" s="7" t="s">
        <v>83</v>
      </c>
      <c r="B245">
        <v>71317</v>
      </c>
      <c r="C245">
        <v>44</v>
      </c>
      <c r="D245" t="s">
        <v>26</v>
      </c>
      <c r="E245" t="s">
        <v>26</v>
      </c>
      <c r="F245" t="s">
        <v>26</v>
      </c>
      <c r="G245" t="s">
        <v>116</v>
      </c>
    </row>
    <row r="246" spans="1:7" x14ac:dyDescent="0.2">
      <c r="A246" s="7" t="s">
        <v>83</v>
      </c>
      <c r="B246">
        <v>71317</v>
      </c>
      <c r="C246">
        <v>45</v>
      </c>
      <c r="D246" t="s">
        <v>26</v>
      </c>
      <c r="E246" t="s">
        <v>26</v>
      </c>
      <c r="F246" t="s">
        <v>26</v>
      </c>
      <c r="G246" t="s">
        <v>116</v>
      </c>
    </row>
    <row r="247" spans="1:7" x14ac:dyDescent="0.2">
      <c r="A247" s="7" t="s">
        <v>83</v>
      </c>
      <c r="B247">
        <v>71317</v>
      </c>
      <c r="C247">
        <v>46</v>
      </c>
      <c r="D247" t="s">
        <v>26</v>
      </c>
      <c r="E247" t="s">
        <v>26</v>
      </c>
      <c r="F247" t="s">
        <v>26</v>
      </c>
      <c r="G247" t="s">
        <v>116</v>
      </c>
    </row>
    <row r="248" spans="1:7" x14ac:dyDescent="0.2">
      <c r="A248" s="7" t="s">
        <v>83</v>
      </c>
      <c r="B248">
        <v>71317</v>
      </c>
      <c r="C248">
        <v>47</v>
      </c>
      <c r="D248" t="s">
        <v>26</v>
      </c>
      <c r="E248" t="s">
        <v>26</v>
      </c>
      <c r="F248" t="s">
        <v>26</v>
      </c>
      <c r="G248" t="s">
        <v>116</v>
      </c>
    </row>
    <row r="249" spans="1:7" x14ac:dyDescent="0.2">
      <c r="A249" s="7" t="s">
        <v>83</v>
      </c>
      <c r="B249">
        <v>71317</v>
      </c>
      <c r="C249">
        <v>48</v>
      </c>
      <c r="D249" t="s">
        <v>26</v>
      </c>
      <c r="E249" t="s">
        <v>26</v>
      </c>
      <c r="F249" t="s">
        <v>26</v>
      </c>
      <c r="G249" t="s">
        <v>116</v>
      </c>
    </row>
    <row r="250" spans="1:7" x14ac:dyDescent="0.2">
      <c r="A250" s="7" t="s">
        <v>83</v>
      </c>
      <c r="B250">
        <v>71317</v>
      </c>
      <c r="C250">
        <v>49</v>
      </c>
      <c r="D250" t="s">
        <v>26</v>
      </c>
      <c r="E250" t="s">
        <v>26</v>
      </c>
      <c r="F250" t="s">
        <v>26</v>
      </c>
      <c r="G250" t="s">
        <v>116</v>
      </c>
    </row>
    <row r="251" spans="1:7" x14ac:dyDescent="0.2">
      <c r="A251" s="7" t="s">
        <v>83</v>
      </c>
      <c r="B251">
        <v>71317</v>
      </c>
      <c r="C251">
        <v>50</v>
      </c>
      <c r="D251" t="s">
        <v>26</v>
      </c>
      <c r="E251" t="s">
        <v>26</v>
      </c>
      <c r="F251" t="s">
        <v>26</v>
      </c>
      <c r="G251" t="s">
        <v>116</v>
      </c>
    </row>
    <row r="252" spans="1:7" x14ac:dyDescent="0.2">
      <c r="A252" s="7" t="s">
        <v>83</v>
      </c>
      <c r="B252">
        <v>71317</v>
      </c>
      <c r="C252">
        <v>51</v>
      </c>
      <c r="D252" t="s">
        <v>26</v>
      </c>
      <c r="E252" t="s">
        <v>26</v>
      </c>
      <c r="F252" t="s">
        <v>26</v>
      </c>
      <c r="G252" t="s">
        <v>116</v>
      </c>
    </row>
    <row r="253" spans="1:7" x14ac:dyDescent="0.2">
      <c r="A253" s="7" t="s">
        <v>83</v>
      </c>
      <c r="B253">
        <v>71317</v>
      </c>
      <c r="C253">
        <v>52</v>
      </c>
      <c r="D253" t="s">
        <v>26</v>
      </c>
      <c r="E253" t="s">
        <v>26</v>
      </c>
      <c r="F253" t="s">
        <v>26</v>
      </c>
      <c r="G253" t="s">
        <v>116</v>
      </c>
    </row>
    <row r="254" spans="1:7" x14ac:dyDescent="0.2">
      <c r="A254" s="7" t="s">
        <v>83</v>
      </c>
      <c r="B254">
        <v>71317</v>
      </c>
      <c r="C254">
        <v>53</v>
      </c>
      <c r="D254" t="s">
        <v>26</v>
      </c>
      <c r="E254" t="s">
        <v>26</v>
      </c>
      <c r="F254" t="s">
        <v>26</v>
      </c>
      <c r="G254" t="s">
        <v>116</v>
      </c>
    </row>
    <row r="255" spans="1:7" x14ac:dyDescent="0.2">
      <c r="A255" s="7" t="s">
        <v>83</v>
      </c>
      <c r="B255">
        <v>71317</v>
      </c>
      <c r="C255">
        <v>54</v>
      </c>
      <c r="D255" t="s">
        <v>26</v>
      </c>
      <c r="E255" t="s">
        <v>26</v>
      </c>
      <c r="F255" t="s">
        <v>26</v>
      </c>
      <c r="G255" t="s">
        <v>116</v>
      </c>
    </row>
    <row r="256" spans="1:7" x14ac:dyDescent="0.2">
      <c r="A256" s="7" t="s">
        <v>83</v>
      </c>
      <c r="B256">
        <v>71317</v>
      </c>
      <c r="C256">
        <v>55</v>
      </c>
      <c r="D256" t="s">
        <v>26</v>
      </c>
      <c r="E256" t="s">
        <v>26</v>
      </c>
      <c r="F256" t="s">
        <v>26</v>
      </c>
      <c r="G256" t="s">
        <v>116</v>
      </c>
    </row>
    <row r="257" spans="1:7" x14ac:dyDescent="0.2">
      <c r="A257" s="7" t="s">
        <v>83</v>
      </c>
      <c r="B257">
        <v>71317</v>
      </c>
      <c r="C257">
        <v>56</v>
      </c>
      <c r="D257" t="s">
        <v>26</v>
      </c>
      <c r="E257" t="s">
        <v>26</v>
      </c>
      <c r="F257" t="s">
        <v>26</v>
      </c>
      <c r="G257" t="s">
        <v>116</v>
      </c>
    </row>
    <row r="258" spans="1:7" x14ac:dyDescent="0.2">
      <c r="A258" s="7" t="s">
        <v>83</v>
      </c>
      <c r="B258">
        <v>71317</v>
      </c>
      <c r="C258">
        <v>57</v>
      </c>
      <c r="D258" t="s">
        <v>26</v>
      </c>
      <c r="E258" t="s">
        <v>26</v>
      </c>
      <c r="F258" t="s">
        <v>26</v>
      </c>
      <c r="G258" t="s">
        <v>116</v>
      </c>
    </row>
    <row r="259" spans="1:7" x14ac:dyDescent="0.2">
      <c r="A259" s="7" t="s">
        <v>83</v>
      </c>
      <c r="B259">
        <v>71317</v>
      </c>
      <c r="C259">
        <v>58</v>
      </c>
      <c r="D259" t="s">
        <v>26</v>
      </c>
      <c r="E259" t="s">
        <v>26</v>
      </c>
      <c r="F259" t="s">
        <v>26</v>
      </c>
      <c r="G259" t="s">
        <v>116</v>
      </c>
    </row>
    <row r="260" spans="1:7" x14ac:dyDescent="0.2">
      <c r="A260" s="7" t="s">
        <v>83</v>
      </c>
      <c r="B260">
        <v>71317</v>
      </c>
      <c r="C260">
        <v>59</v>
      </c>
      <c r="D260" t="s">
        <v>26</v>
      </c>
      <c r="E260" t="s">
        <v>26</v>
      </c>
      <c r="F260" t="s">
        <v>26</v>
      </c>
      <c r="G260" t="s">
        <v>116</v>
      </c>
    </row>
    <row r="261" spans="1:7" x14ac:dyDescent="0.2">
      <c r="A261" s="7" t="s">
        <v>83</v>
      </c>
      <c r="B261">
        <v>71317</v>
      </c>
      <c r="C261">
        <v>60</v>
      </c>
      <c r="D261" t="s">
        <v>26</v>
      </c>
      <c r="E261" t="s">
        <v>26</v>
      </c>
      <c r="F261" t="s">
        <v>26</v>
      </c>
      <c r="G261" t="s">
        <v>116</v>
      </c>
    </row>
    <row r="262" spans="1:7" x14ac:dyDescent="0.2">
      <c r="A262" s="7" t="s">
        <v>83</v>
      </c>
      <c r="B262">
        <v>71317</v>
      </c>
      <c r="C262">
        <v>61</v>
      </c>
      <c r="D262" t="s">
        <v>26</v>
      </c>
      <c r="E262" t="s">
        <v>26</v>
      </c>
      <c r="F262" t="s">
        <v>26</v>
      </c>
      <c r="G262" t="s">
        <v>116</v>
      </c>
    </row>
    <row r="263" spans="1:7" x14ac:dyDescent="0.2">
      <c r="A263" s="7" t="s">
        <v>83</v>
      </c>
      <c r="B263">
        <v>71317</v>
      </c>
      <c r="C263">
        <v>62</v>
      </c>
      <c r="D263" t="s">
        <v>26</v>
      </c>
      <c r="E263" t="s">
        <v>26</v>
      </c>
      <c r="F263" t="s">
        <v>26</v>
      </c>
      <c r="G263" t="s">
        <v>116</v>
      </c>
    </row>
    <row r="264" spans="1:7" x14ac:dyDescent="0.2">
      <c r="A264" s="7" t="s">
        <v>83</v>
      </c>
      <c r="B264">
        <v>71317</v>
      </c>
      <c r="C264">
        <v>63</v>
      </c>
      <c r="D264" t="s">
        <v>26</v>
      </c>
      <c r="E264" t="s">
        <v>26</v>
      </c>
      <c r="F264" t="s">
        <v>26</v>
      </c>
      <c r="G264" t="s">
        <v>116</v>
      </c>
    </row>
    <row r="265" spans="1:7" x14ac:dyDescent="0.2">
      <c r="A265" s="7" t="s">
        <v>83</v>
      </c>
      <c r="B265">
        <v>71317</v>
      </c>
      <c r="C265">
        <v>64</v>
      </c>
      <c r="D265" t="s">
        <v>26</v>
      </c>
      <c r="E265" t="s">
        <v>26</v>
      </c>
      <c r="F265" t="s">
        <v>26</v>
      </c>
      <c r="G265" t="s">
        <v>116</v>
      </c>
    </row>
    <row r="266" spans="1:7" x14ac:dyDescent="0.2">
      <c r="A266" s="7" t="s">
        <v>83</v>
      </c>
      <c r="B266">
        <v>71317</v>
      </c>
      <c r="C266">
        <v>65</v>
      </c>
      <c r="D266" t="s">
        <v>26</v>
      </c>
      <c r="E266" t="s">
        <v>26</v>
      </c>
      <c r="F266" t="s">
        <v>26</v>
      </c>
      <c r="G266" t="s">
        <v>116</v>
      </c>
    </row>
    <row r="267" spans="1:7" x14ac:dyDescent="0.2">
      <c r="A267" s="7" t="s">
        <v>83</v>
      </c>
      <c r="B267">
        <v>71317</v>
      </c>
      <c r="C267">
        <v>66</v>
      </c>
      <c r="D267" t="s">
        <v>26</v>
      </c>
      <c r="E267" t="s">
        <v>26</v>
      </c>
      <c r="F267" t="s">
        <v>26</v>
      </c>
      <c r="G267" t="s">
        <v>116</v>
      </c>
    </row>
    <row r="268" spans="1:7" x14ac:dyDescent="0.2">
      <c r="A268" s="7" t="s">
        <v>83</v>
      </c>
      <c r="B268">
        <v>71317</v>
      </c>
      <c r="C268">
        <v>67</v>
      </c>
      <c r="D268" t="s">
        <v>26</v>
      </c>
      <c r="E268" t="s">
        <v>26</v>
      </c>
      <c r="F268" t="s">
        <v>26</v>
      </c>
      <c r="G268" t="s">
        <v>116</v>
      </c>
    </row>
    <row r="269" spans="1:7" x14ac:dyDescent="0.2">
      <c r="A269" s="7" t="s">
        <v>83</v>
      </c>
      <c r="B269">
        <v>71317</v>
      </c>
      <c r="C269">
        <v>68</v>
      </c>
      <c r="D269" t="s">
        <v>26</v>
      </c>
      <c r="E269" t="s">
        <v>26</v>
      </c>
      <c r="F269" t="s">
        <v>26</v>
      </c>
      <c r="G269" t="s">
        <v>116</v>
      </c>
    </row>
    <row r="270" spans="1:7" x14ac:dyDescent="0.2">
      <c r="A270" s="7" t="s">
        <v>83</v>
      </c>
      <c r="B270">
        <v>71317</v>
      </c>
      <c r="C270">
        <v>69</v>
      </c>
      <c r="D270" t="s">
        <v>26</v>
      </c>
      <c r="E270" t="s">
        <v>26</v>
      </c>
      <c r="F270" t="s">
        <v>26</v>
      </c>
      <c r="G270" t="s">
        <v>116</v>
      </c>
    </row>
    <row r="271" spans="1:7" x14ac:dyDescent="0.2">
      <c r="A271" s="7" t="s">
        <v>83</v>
      </c>
      <c r="B271">
        <v>71317</v>
      </c>
      <c r="C271">
        <v>70</v>
      </c>
      <c r="D271" t="s">
        <v>26</v>
      </c>
      <c r="E271" t="s">
        <v>26</v>
      </c>
      <c r="F271" t="s">
        <v>26</v>
      </c>
      <c r="G271" t="s">
        <v>116</v>
      </c>
    </row>
    <row r="272" spans="1:7" x14ac:dyDescent="0.2">
      <c r="A272" s="7" t="s">
        <v>83</v>
      </c>
      <c r="B272">
        <v>71317</v>
      </c>
      <c r="C272">
        <v>71</v>
      </c>
      <c r="D272" t="s">
        <v>26</v>
      </c>
      <c r="E272" t="s">
        <v>26</v>
      </c>
      <c r="F272" t="s">
        <v>26</v>
      </c>
      <c r="G272" t="s">
        <v>116</v>
      </c>
    </row>
    <row r="273" spans="1:7" x14ac:dyDescent="0.2">
      <c r="A273" s="7" t="s">
        <v>83</v>
      </c>
      <c r="B273">
        <v>71317</v>
      </c>
      <c r="C273">
        <v>72</v>
      </c>
      <c r="D273" t="s">
        <v>26</v>
      </c>
      <c r="E273" t="s">
        <v>26</v>
      </c>
      <c r="F273" t="s">
        <v>26</v>
      </c>
      <c r="G273" t="s">
        <v>116</v>
      </c>
    </row>
    <row r="274" spans="1:7" x14ac:dyDescent="0.2">
      <c r="A274" s="7" t="s">
        <v>83</v>
      </c>
      <c r="B274">
        <v>71317</v>
      </c>
      <c r="C274">
        <v>73</v>
      </c>
      <c r="D274" t="s">
        <v>26</v>
      </c>
      <c r="E274" t="s">
        <v>26</v>
      </c>
      <c r="F274" t="s">
        <v>26</v>
      </c>
      <c r="G274" t="s">
        <v>116</v>
      </c>
    </row>
    <row r="275" spans="1:7" x14ac:dyDescent="0.2">
      <c r="A275" s="7" t="s">
        <v>83</v>
      </c>
      <c r="B275">
        <v>71317</v>
      </c>
      <c r="C275">
        <v>74</v>
      </c>
      <c r="D275" t="s">
        <v>26</v>
      </c>
      <c r="E275" t="s">
        <v>26</v>
      </c>
      <c r="F275" t="s">
        <v>26</v>
      </c>
      <c r="G275" t="s">
        <v>116</v>
      </c>
    </row>
    <row r="276" spans="1:7" x14ac:dyDescent="0.2">
      <c r="A276" s="7" t="s">
        <v>83</v>
      </c>
      <c r="B276">
        <v>71317</v>
      </c>
      <c r="C276">
        <v>75</v>
      </c>
      <c r="D276" t="s">
        <v>26</v>
      </c>
      <c r="E276" t="s">
        <v>26</v>
      </c>
      <c r="F276" t="s">
        <v>26</v>
      </c>
      <c r="G276" t="s">
        <v>116</v>
      </c>
    </row>
    <row r="277" spans="1:7" x14ac:dyDescent="0.2">
      <c r="A277" s="7" t="s">
        <v>83</v>
      </c>
      <c r="B277">
        <v>71317</v>
      </c>
      <c r="C277">
        <v>76</v>
      </c>
      <c r="D277" t="s">
        <v>26</v>
      </c>
      <c r="E277" t="s">
        <v>26</v>
      </c>
      <c r="F277" t="s">
        <v>26</v>
      </c>
      <c r="G277" t="s">
        <v>116</v>
      </c>
    </row>
    <row r="278" spans="1:7" x14ac:dyDescent="0.2">
      <c r="A278" s="7" t="s">
        <v>83</v>
      </c>
      <c r="B278">
        <v>71317</v>
      </c>
      <c r="C278">
        <v>77</v>
      </c>
      <c r="D278" t="s">
        <v>26</v>
      </c>
      <c r="E278" t="s">
        <v>26</v>
      </c>
      <c r="F278" t="s">
        <v>26</v>
      </c>
      <c r="G278" t="s">
        <v>116</v>
      </c>
    </row>
    <row r="279" spans="1:7" x14ac:dyDescent="0.2">
      <c r="A279" s="7" t="s">
        <v>83</v>
      </c>
      <c r="B279">
        <v>71317</v>
      </c>
      <c r="C279">
        <v>78</v>
      </c>
      <c r="D279" t="s">
        <v>26</v>
      </c>
      <c r="E279" t="s">
        <v>26</v>
      </c>
      <c r="F279" t="s">
        <v>26</v>
      </c>
      <c r="G279" t="s">
        <v>116</v>
      </c>
    </row>
    <row r="280" spans="1:7" x14ac:dyDescent="0.2">
      <c r="A280" s="7" t="s">
        <v>83</v>
      </c>
      <c r="B280">
        <v>71317</v>
      </c>
      <c r="C280">
        <v>79</v>
      </c>
      <c r="D280" t="s">
        <v>26</v>
      </c>
      <c r="E280" t="s">
        <v>26</v>
      </c>
      <c r="F280" t="s">
        <v>26</v>
      </c>
      <c r="G280" t="s">
        <v>116</v>
      </c>
    </row>
    <row r="281" spans="1:7" x14ac:dyDescent="0.2">
      <c r="A281" s="7" t="s">
        <v>83</v>
      </c>
      <c r="B281">
        <v>71317</v>
      </c>
      <c r="C281">
        <v>80</v>
      </c>
      <c r="D281" t="s">
        <v>26</v>
      </c>
      <c r="E281" t="s">
        <v>26</v>
      </c>
      <c r="F281" t="s">
        <v>26</v>
      </c>
      <c r="G281" t="s">
        <v>116</v>
      </c>
    </row>
    <row r="282" spans="1:7" x14ac:dyDescent="0.2">
      <c r="A282" s="7" t="s">
        <v>83</v>
      </c>
      <c r="B282">
        <v>71317</v>
      </c>
      <c r="C282">
        <v>81</v>
      </c>
      <c r="D282" t="s">
        <v>26</v>
      </c>
      <c r="E282" t="s">
        <v>26</v>
      </c>
      <c r="F282" t="s">
        <v>26</v>
      </c>
      <c r="G282" t="s">
        <v>116</v>
      </c>
    </row>
    <row r="283" spans="1:7" x14ac:dyDescent="0.2">
      <c r="A283" s="7" t="s">
        <v>83</v>
      </c>
      <c r="B283">
        <v>71317</v>
      </c>
      <c r="C283">
        <v>82</v>
      </c>
      <c r="D283" t="s">
        <v>26</v>
      </c>
      <c r="E283" t="s">
        <v>26</v>
      </c>
      <c r="F283" t="s">
        <v>26</v>
      </c>
      <c r="G283" t="s">
        <v>116</v>
      </c>
    </row>
    <row r="284" spans="1:7" x14ac:dyDescent="0.2">
      <c r="A284" s="7" t="s">
        <v>83</v>
      </c>
      <c r="B284">
        <v>71317</v>
      </c>
      <c r="C284">
        <v>83</v>
      </c>
      <c r="D284" t="s">
        <v>26</v>
      </c>
      <c r="E284" t="s">
        <v>26</v>
      </c>
      <c r="F284" t="s">
        <v>26</v>
      </c>
      <c r="G284" t="s">
        <v>116</v>
      </c>
    </row>
    <row r="285" spans="1:7" x14ac:dyDescent="0.2">
      <c r="A285" s="7" t="s">
        <v>83</v>
      </c>
      <c r="B285">
        <v>71317</v>
      </c>
      <c r="C285">
        <v>84</v>
      </c>
      <c r="D285" t="s">
        <v>26</v>
      </c>
      <c r="E285" t="s">
        <v>26</v>
      </c>
      <c r="F285" t="s">
        <v>26</v>
      </c>
      <c r="G285" t="s">
        <v>116</v>
      </c>
    </row>
    <row r="286" spans="1:7" x14ac:dyDescent="0.2">
      <c r="A286" s="7" t="s">
        <v>83</v>
      </c>
      <c r="B286">
        <v>71317</v>
      </c>
      <c r="C286">
        <v>85</v>
      </c>
      <c r="D286" t="s">
        <v>26</v>
      </c>
      <c r="E286" t="s">
        <v>26</v>
      </c>
      <c r="F286" t="s">
        <v>26</v>
      </c>
      <c r="G286" t="s">
        <v>116</v>
      </c>
    </row>
    <row r="287" spans="1:7" x14ac:dyDescent="0.2">
      <c r="A287" s="7" t="s">
        <v>83</v>
      </c>
      <c r="B287">
        <v>71317</v>
      </c>
      <c r="C287">
        <v>86</v>
      </c>
      <c r="D287" t="s">
        <v>26</v>
      </c>
      <c r="E287" t="s">
        <v>26</v>
      </c>
      <c r="F287" t="s">
        <v>26</v>
      </c>
      <c r="G287" t="s">
        <v>116</v>
      </c>
    </row>
    <row r="288" spans="1:7" x14ac:dyDescent="0.2">
      <c r="A288" s="7" t="s">
        <v>83</v>
      </c>
      <c r="B288">
        <v>71317</v>
      </c>
      <c r="C288">
        <v>87</v>
      </c>
      <c r="D288" t="s">
        <v>26</v>
      </c>
      <c r="E288" t="s">
        <v>26</v>
      </c>
      <c r="F288" t="s">
        <v>26</v>
      </c>
      <c r="G288" t="s">
        <v>116</v>
      </c>
    </row>
    <row r="289" spans="1:7" x14ac:dyDescent="0.2">
      <c r="A289" s="7" t="s">
        <v>83</v>
      </c>
      <c r="B289">
        <v>71317</v>
      </c>
      <c r="C289">
        <v>88</v>
      </c>
      <c r="D289" t="s">
        <v>26</v>
      </c>
      <c r="E289" t="s">
        <v>26</v>
      </c>
      <c r="F289" t="s">
        <v>26</v>
      </c>
      <c r="G289" t="s">
        <v>116</v>
      </c>
    </row>
    <row r="290" spans="1:7" x14ac:dyDescent="0.2">
      <c r="A290" s="7" t="s">
        <v>83</v>
      </c>
      <c r="B290">
        <v>71317</v>
      </c>
      <c r="C290">
        <v>89</v>
      </c>
      <c r="D290" t="s">
        <v>26</v>
      </c>
      <c r="E290" t="s">
        <v>26</v>
      </c>
      <c r="F290" t="s">
        <v>26</v>
      </c>
      <c r="G290" t="s">
        <v>116</v>
      </c>
    </row>
    <row r="291" spans="1:7" x14ac:dyDescent="0.2">
      <c r="A291" s="7" t="s">
        <v>83</v>
      </c>
      <c r="B291">
        <v>71317</v>
      </c>
      <c r="C291">
        <v>90</v>
      </c>
      <c r="D291" t="s">
        <v>26</v>
      </c>
      <c r="E291" t="s">
        <v>26</v>
      </c>
      <c r="F291" t="s">
        <v>26</v>
      </c>
      <c r="G291" t="s">
        <v>116</v>
      </c>
    </row>
    <row r="292" spans="1:7" x14ac:dyDescent="0.2">
      <c r="A292" s="7" t="s">
        <v>83</v>
      </c>
      <c r="B292">
        <v>71317</v>
      </c>
      <c r="C292">
        <v>91</v>
      </c>
      <c r="D292" t="s">
        <v>26</v>
      </c>
      <c r="E292" t="s">
        <v>26</v>
      </c>
      <c r="F292" t="s">
        <v>26</v>
      </c>
      <c r="G292" t="s">
        <v>116</v>
      </c>
    </row>
    <row r="293" spans="1:7" x14ac:dyDescent="0.2">
      <c r="A293" s="7" t="s">
        <v>83</v>
      </c>
      <c r="B293">
        <v>71317</v>
      </c>
      <c r="C293">
        <v>92</v>
      </c>
      <c r="D293" t="s">
        <v>26</v>
      </c>
      <c r="E293" t="s">
        <v>26</v>
      </c>
      <c r="F293" t="s">
        <v>26</v>
      </c>
      <c r="G293" t="s">
        <v>116</v>
      </c>
    </row>
    <row r="294" spans="1:7" x14ac:dyDescent="0.2">
      <c r="A294" s="7" t="s">
        <v>83</v>
      </c>
      <c r="B294">
        <v>71317</v>
      </c>
      <c r="C294">
        <v>93</v>
      </c>
      <c r="D294" t="s">
        <v>26</v>
      </c>
      <c r="E294" t="s">
        <v>26</v>
      </c>
      <c r="F294" t="s">
        <v>26</v>
      </c>
      <c r="G294" t="s">
        <v>116</v>
      </c>
    </row>
    <row r="295" spans="1:7" x14ac:dyDescent="0.2">
      <c r="A295" s="7" t="s">
        <v>83</v>
      </c>
      <c r="B295">
        <v>71317</v>
      </c>
      <c r="C295">
        <v>94</v>
      </c>
      <c r="D295" t="s">
        <v>26</v>
      </c>
      <c r="E295" t="s">
        <v>26</v>
      </c>
      <c r="F295" t="s">
        <v>26</v>
      </c>
      <c r="G295" t="s">
        <v>116</v>
      </c>
    </row>
    <row r="296" spans="1:7" x14ac:dyDescent="0.2">
      <c r="A296" s="7" t="s">
        <v>83</v>
      </c>
      <c r="B296">
        <v>71317</v>
      </c>
      <c r="C296">
        <v>95</v>
      </c>
      <c r="D296" t="s">
        <v>26</v>
      </c>
      <c r="E296" t="s">
        <v>26</v>
      </c>
      <c r="F296" t="s">
        <v>26</v>
      </c>
      <c r="G296" t="s">
        <v>116</v>
      </c>
    </row>
    <row r="297" spans="1:7" x14ac:dyDescent="0.2">
      <c r="A297" s="7" t="s">
        <v>83</v>
      </c>
      <c r="B297">
        <v>71317</v>
      </c>
      <c r="C297">
        <v>96</v>
      </c>
      <c r="D297" t="s">
        <v>26</v>
      </c>
      <c r="E297" t="s">
        <v>26</v>
      </c>
      <c r="F297" t="s">
        <v>26</v>
      </c>
      <c r="G297" t="s">
        <v>116</v>
      </c>
    </row>
    <row r="298" spans="1:7" x14ac:dyDescent="0.2">
      <c r="A298" s="7" t="s">
        <v>83</v>
      </c>
      <c r="B298">
        <v>71317</v>
      </c>
      <c r="C298">
        <v>97</v>
      </c>
      <c r="D298" t="s">
        <v>26</v>
      </c>
      <c r="E298" t="s">
        <v>26</v>
      </c>
      <c r="F298" t="s">
        <v>26</v>
      </c>
      <c r="G298" t="s">
        <v>116</v>
      </c>
    </row>
    <row r="299" spans="1:7" x14ac:dyDescent="0.2">
      <c r="A299" s="7" t="s">
        <v>83</v>
      </c>
      <c r="B299">
        <v>71317</v>
      </c>
      <c r="C299">
        <v>98</v>
      </c>
      <c r="D299" t="s">
        <v>26</v>
      </c>
      <c r="E299" t="s">
        <v>26</v>
      </c>
      <c r="F299" t="s">
        <v>26</v>
      </c>
      <c r="G299" t="s">
        <v>116</v>
      </c>
    </row>
    <row r="300" spans="1:7" x14ac:dyDescent="0.2">
      <c r="A300" s="7" t="s">
        <v>83</v>
      </c>
      <c r="B300">
        <v>71317</v>
      </c>
      <c r="C300">
        <v>99</v>
      </c>
      <c r="D300" t="s">
        <v>26</v>
      </c>
      <c r="E300" t="s">
        <v>26</v>
      </c>
      <c r="F300" t="s">
        <v>26</v>
      </c>
      <c r="G300" t="s">
        <v>116</v>
      </c>
    </row>
    <row r="301" spans="1:7" x14ac:dyDescent="0.2">
      <c r="A301" s="7" t="s">
        <v>83</v>
      </c>
      <c r="B301">
        <v>71317</v>
      </c>
      <c r="C301">
        <v>100</v>
      </c>
      <c r="D301" t="s">
        <v>26</v>
      </c>
      <c r="E301" t="s">
        <v>26</v>
      </c>
      <c r="F301" t="s">
        <v>26</v>
      </c>
      <c r="G301" t="s">
        <v>116</v>
      </c>
    </row>
    <row r="302" spans="1:7" x14ac:dyDescent="0.2">
      <c r="A302" s="7" t="s">
        <v>86</v>
      </c>
      <c r="B302">
        <v>71417</v>
      </c>
      <c r="C302" s="7">
        <v>1</v>
      </c>
      <c r="D302">
        <v>1</v>
      </c>
      <c r="E302" t="s">
        <v>113</v>
      </c>
      <c r="F302">
        <v>45</v>
      </c>
    </row>
    <row r="303" spans="1:7" x14ac:dyDescent="0.2">
      <c r="A303" s="7" t="s">
        <v>86</v>
      </c>
      <c r="B303">
        <v>71417</v>
      </c>
      <c r="C303">
        <v>2</v>
      </c>
      <c r="D303">
        <v>1</v>
      </c>
      <c r="E303" t="s">
        <v>113</v>
      </c>
      <c r="F303">
        <v>32</v>
      </c>
    </row>
    <row r="304" spans="1:7" x14ac:dyDescent="0.2">
      <c r="A304" s="7" t="s">
        <v>86</v>
      </c>
      <c r="B304">
        <v>71417</v>
      </c>
      <c r="C304">
        <v>3</v>
      </c>
      <c r="D304">
        <v>1</v>
      </c>
      <c r="E304" t="s">
        <v>112</v>
      </c>
      <c r="F304">
        <v>22.6</v>
      </c>
    </row>
    <row r="305" spans="1:6" x14ac:dyDescent="0.2">
      <c r="A305" s="7" t="s">
        <v>86</v>
      </c>
      <c r="B305">
        <v>71417</v>
      </c>
      <c r="C305" s="7">
        <v>4</v>
      </c>
      <c r="D305">
        <v>1</v>
      </c>
      <c r="E305" t="s">
        <v>112</v>
      </c>
      <c r="F305">
        <v>45</v>
      </c>
    </row>
    <row r="306" spans="1:6" x14ac:dyDescent="0.2">
      <c r="A306" s="7" t="s">
        <v>86</v>
      </c>
      <c r="B306">
        <v>71417</v>
      </c>
      <c r="C306">
        <v>5</v>
      </c>
      <c r="D306">
        <v>1</v>
      </c>
      <c r="E306" t="s">
        <v>112</v>
      </c>
      <c r="F306">
        <v>128</v>
      </c>
    </row>
    <row r="307" spans="1:6" x14ac:dyDescent="0.2">
      <c r="A307" s="7" t="s">
        <v>86</v>
      </c>
      <c r="B307">
        <v>71417</v>
      </c>
      <c r="C307">
        <v>6</v>
      </c>
      <c r="D307">
        <v>1</v>
      </c>
      <c r="E307" t="s">
        <v>112</v>
      </c>
      <c r="F307">
        <v>64</v>
      </c>
    </row>
    <row r="308" spans="1:6" x14ac:dyDescent="0.2">
      <c r="A308" s="7" t="s">
        <v>86</v>
      </c>
      <c r="B308">
        <v>71417</v>
      </c>
      <c r="C308" s="7">
        <v>7</v>
      </c>
      <c r="D308">
        <v>1</v>
      </c>
      <c r="E308" t="s">
        <v>112</v>
      </c>
      <c r="F308">
        <v>32</v>
      </c>
    </row>
    <row r="309" spans="1:6" x14ac:dyDescent="0.2">
      <c r="A309" s="7" t="s">
        <v>86</v>
      </c>
      <c r="B309">
        <v>71417</v>
      </c>
      <c r="C309">
        <v>8</v>
      </c>
      <c r="D309">
        <v>1</v>
      </c>
      <c r="E309" t="s">
        <v>111</v>
      </c>
      <c r="F309" t="s">
        <v>115</v>
      </c>
    </row>
    <row r="310" spans="1:6" x14ac:dyDescent="0.2">
      <c r="A310" s="7" t="s">
        <v>86</v>
      </c>
      <c r="B310">
        <v>71417</v>
      </c>
      <c r="C310">
        <v>9</v>
      </c>
      <c r="D310">
        <v>2</v>
      </c>
      <c r="E310" t="s">
        <v>111</v>
      </c>
      <c r="F310">
        <v>8</v>
      </c>
    </row>
    <row r="311" spans="1:6" x14ac:dyDescent="0.2">
      <c r="A311" s="7" t="s">
        <v>86</v>
      </c>
      <c r="B311">
        <v>71417</v>
      </c>
      <c r="C311" s="7">
        <v>10</v>
      </c>
      <c r="D311">
        <v>2</v>
      </c>
      <c r="E311" t="s">
        <v>112</v>
      </c>
      <c r="F311">
        <v>64</v>
      </c>
    </row>
    <row r="312" spans="1:6" x14ac:dyDescent="0.2">
      <c r="A312" s="7" t="s">
        <v>86</v>
      </c>
      <c r="B312">
        <v>71417</v>
      </c>
      <c r="C312">
        <v>11</v>
      </c>
      <c r="D312">
        <v>2</v>
      </c>
      <c r="E312" t="s">
        <v>112</v>
      </c>
      <c r="F312">
        <v>64</v>
      </c>
    </row>
    <row r="313" spans="1:6" x14ac:dyDescent="0.2">
      <c r="A313" s="7" t="s">
        <v>86</v>
      </c>
      <c r="B313">
        <v>71417</v>
      </c>
      <c r="C313">
        <v>12</v>
      </c>
      <c r="D313">
        <v>2</v>
      </c>
      <c r="E313" t="s">
        <v>112</v>
      </c>
      <c r="F313">
        <v>45</v>
      </c>
    </row>
    <row r="314" spans="1:6" x14ac:dyDescent="0.2">
      <c r="A314" s="7" t="s">
        <v>86</v>
      </c>
      <c r="B314">
        <v>71417</v>
      </c>
      <c r="C314" s="7">
        <v>13</v>
      </c>
      <c r="D314">
        <v>2</v>
      </c>
      <c r="E314" t="s">
        <v>112</v>
      </c>
      <c r="F314">
        <v>90</v>
      </c>
    </row>
    <row r="315" spans="1:6" x14ac:dyDescent="0.2">
      <c r="A315" s="7" t="s">
        <v>86</v>
      </c>
      <c r="B315">
        <v>71417</v>
      </c>
      <c r="C315">
        <v>14</v>
      </c>
      <c r="D315">
        <v>2</v>
      </c>
      <c r="E315" t="s">
        <v>112</v>
      </c>
      <c r="F315">
        <v>22.6</v>
      </c>
    </row>
    <row r="316" spans="1:6" x14ac:dyDescent="0.2">
      <c r="A316" s="7" t="s">
        <v>86</v>
      </c>
      <c r="B316">
        <v>71417</v>
      </c>
      <c r="C316">
        <v>15</v>
      </c>
      <c r="D316">
        <v>2</v>
      </c>
      <c r="E316" t="s">
        <v>112</v>
      </c>
      <c r="F316">
        <v>180</v>
      </c>
    </row>
    <row r="317" spans="1:6" x14ac:dyDescent="0.2">
      <c r="A317" s="7" t="s">
        <v>86</v>
      </c>
      <c r="B317">
        <v>71417</v>
      </c>
      <c r="C317" s="7">
        <v>16</v>
      </c>
      <c r="D317">
        <v>3</v>
      </c>
      <c r="E317" t="s">
        <v>112</v>
      </c>
      <c r="F317">
        <v>22.6</v>
      </c>
    </row>
    <row r="318" spans="1:6" x14ac:dyDescent="0.2">
      <c r="A318" s="7" t="s">
        <v>86</v>
      </c>
      <c r="B318">
        <v>71417</v>
      </c>
      <c r="C318">
        <v>17</v>
      </c>
      <c r="D318">
        <v>3</v>
      </c>
      <c r="E318" t="s">
        <v>112</v>
      </c>
      <c r="F318">
        <v>90</v>
      </c>
    </row>
    <row r="319" spans="1:6" x14ac:dyDescent="0.2">
      <c r="A319" s="7" t="s">
        <v>86</v>
      </c>
      <c r="B319">
        <v>71417</v>
      </c>
      <c r="C319">
        <v>18</v>
      </c>
      <c r="D319">
        <v>3</v>
      </c>
      <c r="E319" t="s">
        <v>112</v>
      </c>
      <c r="F319">
        <v>16</v>
      </c>
    </row>
    <row r="320" spans="1:6" x14ac:dyDescent="0.2">
      <c r="A320" s="7" t="s">
        <v>86</v>
      </c>
      <c r="B320">
        <v>71417</v>
      </c>
      <c r="C320" s="7">
        <v>19</v>
      </c>
      <c r="D320">
        <v>3</v>
      </c>
      <c r="E320" t="s">
        <v>112</v>
      </c>
      <c r="F320">
        <v>32</v>
      </c>
    </row>
    <row r="321" spans="1:6" x14ac:dyDescent="0.2">
      <c r="A321" s="7" t="s">
        <v>86</v>
      </c>
      <c r="B321">
        <v>71417</v>
      </c>
      <c r="C321">
        <v>20</v>
      </c>
      <c r="D321">
        <v>3</v>
      </c>
      <c r="E321" t="s">
        <v>112</v>
      </c>
      <c r="F321">
        <v>32</v>
      </c>
    </row>
    <row r="322" spans="1:6" x14ac:dyDescent="0.2">
      <c r="A322" s="7" t="s">
        <v>86</v>
      </c>
      <c r="B322">
        <v>71417</v>
      </c>
      <c r="C322">
        <v>21</v>
      </c>
      <c r="D322">
        <v>3</v>
      </c>
      <c r="E322" t="s">
        <v>112</v>
      </c>
      <c r="F322">
        <v>45</v>
      </c>
    </row>
    <row r="323" spans="1:6" x14ac:dyDescent="0.2">
      <c r="A323" s="7" t="s">
        <v>86</v>
      </c>
      <c r="B323">
        <v>71417</v>
      </c>
      <c r="C323" s="7">
        <v>22</v>
      </c>
      <c r="D323">
        <v>3</v>
      </c>
      <c r="E323" t="s">
        <v>112</v>
      </c>
      <c r="F323">
        <v>90</v>
      </c>
    </row>
    <row r="324" spans="1:6" x14ac:dyDescent="0.2">
      <c r="A324" s="7" t="s">
        <v>86</v>
      </c>
      <c r="B324">
        <v>71417</v>
      </c>
      <c r="C324">
        <v>23</v>
      </c>
      <c r="D324">
        <v>3</v>
      </c>
      <c r="E324" t="s">
        <v>111</v>
      </c>
      <c r="F324" t="s">
        <v>115</v>
      </c>
    </row>
    <row r="325" spans="1:6" x14ac:dyDescent="0.2">
      <c r="A325" s="7" t="s">
        <v>86</v>
      </c>
      <c r="B325">
        <v>71417</v>
      </c>
      <c r="C325">
        <v>24</v>
      </c>
      <c r="D325">
        <v>3</v>
      </c>
      <c r="E325" t="s">
        <v>111</v>
      </c>
      <c r="F325" t="s">
        <v>115</v>
      </c>
    </row>
    <row r="326" spans="1:6" x14ac:dyDescent="0.2">
      <c r="A326" s="7" t="s">
        <v>86</v>
      </c>
      <c r="B326">
        <v>71417</v>
      </c>
      <c r="C326" s="7">
        <v>25</v>
      </c>
      <c r="D326">
        <v>4</v>
      </c>
      <c r="E326" t="s">
        <v>111</v>
      </c>
      <c r="F326">
        <v>5.6</v>
      </c>
    </row>
    <row r="327" spans="1:6" x14ac:dyDescent="0.2">
      <c r="A327" s="7" t="s">
        <v>86</v>
      </c>
      <c r="B327">
        <v>71417</v>
      </c>
      <c r="C327">
        <v>26</v>
      </c>
      <c r="D327">
        <v>4</v>
      </c>
      <c r="E327" t="s">
        <v>112</v>
      </c>
      <c r="F327">
        <v>90</v>
      </c>
    </row>
    <row r="328" spans="1:6" x14ac:dyDescent="0.2">
      <c r="A328" s="7" t="s">
        <v>86</v>
      </c>
      <c r="B328">
        <v>71417</v>
      </c>
      <c r="C328">
        <v>27</v>
      </c>
      <c r="D328">
        <v>4</v>
      </c>
      <c r="E328" t="s">
        <v>112</v>
      </c>
      <c r="F328">
        <v>45</v>
      </c>
    </row>
    <row r="329" spans="1:6" x14ac:dyDescent="0.2">
      <c r="A329" s="7" t="s">
        <v>86</v>
      </c>
      <c r="B329">
        <v>71417</v>
      </c>
      <c r="C329" s="7">
        <v>28</v>
      </c>
      <c r="D329">
        <v>4</v>
      </c>
      <c r="E329" t="s">
        <v>112</v>
      </c>
      <c r="F329">
        <v>90</v>
      </c>
    </row>
    <row r="330" spans="1:6" x14ac:dyDescent="0.2">
      <c r="A330" s="7" t="s">
        <v>86</v>
      </c>
      <c r="B330">
        <v>71417</v>
      </c>
      <c r="C330">
        <v>29</v>
      </c>
      <c r="D330">
        <v>4</v>
      </c>
      <c r="E330" t="s">
        <v>112</v>
      </c>
      <c r="F330">
        <v>90</v>
      </c>
    </row>
    <row r="331" spans="1:6" x14ac:dyDescent="0.2">
      <c r="A331" s="7" t="s">
        <v>86</v>
      </c>
      <c r="B331">
        <v>71417</v>
      </c>
      <c r="C331">
        <v>30</v>
      </c>
      <c r="D331">
        <v>4</v>
      </c>
      <c r="E331" t="s">
        <v>112</v>
      </c>
      <c r="F331">
        <v>32</v>
      </c>
    </row>
    <row r="332" spans="1:6" x14ac:dyDescent="0.2">
      <c r="A332" s="7" t="s">
        <v>86</v>
      </c>
      <c r="B332">
        <v>71417</v>
      </c>
      <c r="C332" s="7">
        <v>31</v>
      </c>
      <c r="D332">
        <v>4</v>
      </c>
      <c r="E332" t="s">
        <v>112</v>
      </c>
      <c r="F332">
        <v>128</v>
      </c>
    </row>
    <row r="333" spans="1:6" x14ac:dyDescent="0.2">
      <c r="A333" s="7" t="s">
        <v>86</v>
      </c>
      <c r="B333">
        <v>71417</v>
      </c>
      <c r="C333">
        <v>32</v>
      </c>
      <c r="D333">
        <v>4</v>
      </c>
      <c r="E333" t="s">
        <v>112</v>
      </c>
      <c r="F333">
        <v>45</v>
      </c>
    </row>
    <row r="334" spans="1:6" x14ac:dyDescent="0.2">
      <c r="A334" s="7" t="s">
        <v>86</v>
      </c>
      <c r="B334">
        <v>71417</v>
      </c>
      <c r="C334">
        <v>33</v>
      </c>
      <c r="D334">
        <v>4</v>
      </c>
      <c r="E334" t="s">
        <v>112</v>
      </c>
      <c r="F334">
        <v>64</v>
      </c>
    </row>
    <row r="335" spans="1:6" x14ac:dyDescent="0.2">
      <c r="A335" s="7" t="s">
        <v>86</v>
      </c>
      <c r="B335">
        <v>71417</v>
      </c>
      <c r="C335" s="7">
        <v>34</v>
      </c>
      <c r="D335">
        <v>4</v>
      </c>
      <c r="E335" t="s">
        <v>112</v>
      </c>
      <c r="F335">
        <v>2.8</v>
      </c>
    </row>
    <row r="336" spans="1:6" x14ac:dyDescent="0.2">
      <c r="A336" s="7" t="s">
        <v>86</v>
      </c>
      <c r="B336">
        <v>71417</v>
      </c>
      <c r="C336">
        <v>35</v>
      </c>
      <c r="D336">
        <v>5</v>
      </c>
      <c r="E336" t="s">
        <v>112</v>
      </c>
      <c r="F336">
        <v>22.6</v>
      </c>
    </row>
    <row r="337" spans="1:6" x14ac:dyDescent="0.2">
      <c r="A337" s="7" t="s">
        <v>86</v>
      </c>
      <c r="B337">
        <v>71417</v>
      </c>
      <c r="C337">
        <v>36</v>
      </c>
      <c r="D337">
        <v>5</v>
      </c>
      <c r="E337" t="s">
        <v>112</v>
      </c>
      <c r="F337">
        <v>64</v>
      </c>
    </row>
    <row r="338" spans="1:6" x14ac:dyDescent="0.2">
      <c r="A338" s="7" t="s">
        <v>86</v>
      </c>
      <c r="B338">
        <v>71417</v>
      </c>
      <c r="C338" s="7">
        <v>37</v>
      </c>
      <c r="D338">
        <v>5</v>
      </c>
      <c r="E338" t="s">
        <v>112</v>
      </c>
      <c r="F338">
        <v>90</v>
      </c>
    </row>
    <row r="339" spans="1:6" x14ac:dyDescent="0.2">
      <c r="A339" s="7" t="s">
        <v>86</v>
      </c>
      <c r="B339">
        <v>71417</v>
      </c>
      <c r="C339">
        <v>38</v>
      </c>
      <c r="D339">
        <v>5</v>
      </c>
      <c r="E339" t="s">
        <v>112</v>
      </c>
      <c r="F339">
        <v>128</v>
      </c>
    </row>
    <row r="340" spans="1:6" x14ac:dyDescent="0.2">
      <c r="A340" s="7" t="s">
        <v>86</v>
      </c>
      <c r="B340">
        <v>71417</v>
      </c>
      <c r="C340">
        <v>39</v>
      </c>
      <c r="D340">
        <v>5</v>
      </c>
      <c r="E340" t="s">
        <v>112</v>
      </c>
      <c r="F340">
        <v>11</v>
      </c>
    </row>
    <row r="341" spans="1:6" x14ac:dyDescent="0.2">
      <c r="A341" s="7" t="s">
        <v>86</v>
      </c>
      <c r="B341">
        <v>71417</v>
      </c>
      <c r="C341" s="7">
        <v>40</v>
      </c>
      <c r="D341">
        <v>5</v>
      </c>
      <c r="E341" t="s">
        <v>112</v>
      </c>
      <c r="F341">
        <v>128</v>
      </c>
    </row>
    <row r="342" spans="1:6" x14ac:dyDescent="0.2">
      <c r="A342" s="7" t="s">
        <v>86</v>
      </c>
      <c r="B342">
        <v>71417</v>
      </c>
      <c r="C342">
        <v>41</v>
      </c>
      <c r="D342">
        <v>5</v>
      </c>
      <c r="E342" t="s">
        <v>112</v>
      </c>
      <c r="F342">
        <v>45</v>
      </c>
    </row>
    <row r="343" spans="1:6" x14ac:dyDescent="0.2">
      <c r="A343" s="7" t="s">
        <v>86</v>
      </c>
      <c r="B343">
        <v>71417</v>
      </c>
      <c r="C343">
        <v>42</v>
      </c>
      <c r="D343">
        <v>5</v>
      </c>
      <c r="E343" t="s">
        <v>112</v>
      </c>
      <c r="F343">
        <v>45</v>
      </c>
    </row>
    <row r="344" spans="1:6" x14ac:dyDescent="0.2">
      <c r="A344" s="7" t="s">
        <v>86</v>
      </c>
      <c r="B344">
        <v>71417</v>
      </c>
      <c r="C344" s="7">
        <v>43</v>
      </c>
      <c r="D344">
        <v>5</v>
      </c>
      <c r="E344" t="s">
        <v>112</v>
      </c>
      <c r="F344">
        <v>90</v>
      </c>
    </row>
    <row r="345" spans="1:6" x14ac:dyDescent="0.2">
      <c r="A345" s="7" t="s">
        <v>86</v>
      </c>
      <c r="B345">
        <v>71417</v>
      </c>
      <c r="C345">
        <v>44</v>
      </c>
      <c r="D345">
        <v>5</v>
      </c>
      <c r="E345" t="s">
        <v>111</v>
      </c>
      <c r="F345" t="s">
        <v>115</v>
      </c>
    </row>
    <row r="346" spans="1:6" x14ac:dyDescent="0.2">
      <c r="A346" s="7" t="s">
        <v>86</v>
      </c>
      <c r="B346">
        <v>71417</v>
      </c>
      <c r="C346">
        <v>45</v>
      </c>
      <c r="D346">
        <v>6</v>
      </c>
      <c r="E346" t="s">
        <v>112</v>
      </c>
      <c r="F346">
        <v>45</v>
      </c>
    </row>
    <row r="347" spans="1:6" x14ac:dyDescent="0.2">
      <c r="A347" s="7" t="s">
        <v>86</v>
      </c>
      <c r="B347">
        <v>71417</v>
      </c>
      <c r="C347" s="7">
        <v>46</v>
      </c>
      <c r="D347">
        <v>6</v>
      </c>
      <c r="E347" t="s">
        <v>112</v>
      </c>
      <c r="F347">
        <v>180</v>
      </c>
    </row>
    <row r="348" spans="1:6" x14ac:dyDescent="0.2">
      <c r="A348" s="7" t="s">
        <v>86</v>
      </c>
      <c r="B348">
        <v>71417</v>
      </c>
      <c r="C348">
        <v>47</v>
      </c>
      <c r="D348">
        <v>6</v>
      </c>
      <c r="E348" t="s">
        <v>112</v>
      </c>
      <c r="F348">
        <v>4</v>
      </c>
    </row>
    <row r="349" spans="1:6" x14ac:dyDescent="0.2">
      <c r="A349" s="7" t="s">
        <v>86</v>
      </c>
      <c r="B349">
        <v>71417</v>
      </c>
      <c r="C349">
        <v>48</v>
      </c>
      <c r="D349">
        <v>6</v>
      </c>
      <c r="E349" t="s">
        <v>112</v>
      </c>
      <c r="F349">
        <v>4</v>
      </c>
    </row>
    <row r="350" spans="1:6" x14ac:dyDescent="0.2">
      <c r="A350" s="7" t="s">
        <v>86</v>
      </c>
      <c r="B350">
        <v>71417</v>
      </c>
      <c r="C350" s="7">
        <v>49</v>
      </c>
      <c r="D350">
        <v>6</v>
      </c>
      <c r="E350" t="s">
        <v>112</v>
      </c>
      <c r="F350">
        <v>11</v>
      </c>
    </row>
    <row r="351" spans="1:6" x14ac:dyDescent="0.2">
      <c r="A351" s="7" t="s">
        <v>86</v>
      </c>
      <c r="B351">
        <v>71417</v>
      </c>
      <c r="C351">
        <v>50</v>
      </c>
      <c r="D351">
        <v>6</v>
      </c>
      <c r="E351" t="s">
        <v>112</v>
      </c>
      <c r="F351">
        <v>32</v>
      </c>
    </row>
    <row r="352" spans="1:6" x14ac:dyDescent="0.2">
      <c r="A352" s="7" t="s">
        <v>86</v>
      </c>
      <c r="B352">
        <v>71417</v>
      </c>
      <c r="C352">
        <v>51</v>
      </c>
      <c r="D352">
        <v>6</v>
      </c>
      <c r="E352" t="s">
        <v>112</v>
      </c>
      <c r="F352" t="s">
        <v>115</v>
      </c>
    </row>
    <row r="353" spans="1:6" x14ac:dyDescent="0.2">
      <c r="A353" s="7" t="s">
        <v>86</v>
      </c>
      <c r="B353">
        <v>71417</v>
      </c>
      <c r="C353" s="7">
        <v>52</v>
      </c>
      <c r="D353">
        <v>6</v>
      </c>
      <c r="E353" t="s">
        <v>113</v>
      </c>
      <c r="F353">
        <v>128</v>
      </c>
    </row>
    <row r="354" spans="1:6" x14ac:dyDescent="0.2">
      <c r="A354" s="7" t="s">
        <v>86</v>
      </c>
      <c r="B354">
        <v>71417</v>
      </c>
      <c r="C354">
        <v>53</v>
      </c>
      <c r="D354">
        <v>7</v>
      </c>
      <c r="E354" t="s">
        <v>112</v>
      </c>
      <c r="F354" t="s">
        <v>115</v>
      </c>
    </row>
    <row r="355" spans="1:6" x14ac:dyDescent="0.2">
      <c r="A355" s="7" t="s">
        <v>86</v>
      </c>
      <c r="B355">
        <v>71417</v>
      </c>
      <c r="C355">
        <v>54</v>
      </c>
      <c r="D355">
        <v>7</v>
      </c>
      <c r="E355" t="s">
        <v>112</v>
      </c>
      <c r="F355">
        <v>45</v>
      </c>
    </row>
    <row r="356" spans="1:6" x14ac:dyDescent="0.2">
      <c r="A356" s="7" t="s">
        <v>86</v>
      </c>
      <c r="B356">
        <v>71417</v>
      </c>
      <c r="C356" s="7">
        <v>55</v>
      </c>
      <c r="D356">
        <v>7</v>
      </c>
      <c r="E356" t="s">
        <v>112</v>
      </c>
      <c r="F356">
        <v>180</v>
      </c>
    </row>
    <row r="357" spans="1:6" x14ac:dyDescent="0.2">
      <c r="A357" s="7" t="s">
        <v>86</v>
      </c>
      <c r="B357">
        <v>71417</v>
      </c>
      <c r="C357">
        <v>56</v>
      </c>
      <c r="D357">
        <v>7</v>
      </c>
      <c r="E357" t="s">
        <v>112</v>
      </c>
      <c r="F357">
        <v>11</v>
      </c>
    </row>
    <row r="358" spans="1:6" x14ac:dyDescent="0.2">
      <c r="A358" s="7" t="s">
        <v>86</v>
      </c>
      <c r="B358">
        <v>71417</v>
      </c>
      <c r="C358">
        <v>57</v>
      </c>
      <c r="D358">
        <v>7</v>
      </c>
      <c r="E358" t="s">
        <v>112</v>
      </c>
      <c r="F358">
        <v>16</v>
      </c>
    </row>
    <row r="359" spans="1:6" x14ac:dyDescent="0.2">
      <c r="A359" s="7" t="s">
        <v>86</v>
      </c>
      <c r="B359">
        <v>71417</v>
      </c>
      <c r="C359" s="7">
        <v>58</v>
      </c>
      <c r="D359">
        <v>7</v>
      </c>
      <c r="E359" t="s">
        <v>112</v>
      </c>
      <c r="F359">
        <v>45</v>
      </c>
    </row>
    <row r="360" spans="1:6" x14ac:dyDescent="0.2">
      <c r="A360" s="7" t="s">
        <v>86</v>
      </c>
      <c r="B360">
        <v>71417</v>
      </c>
      <c r="C360">
        <v>59</v>
      </c>
      <c r="D360">
        <v>7</v>
      </c>
      <c r="E360" t="s">
        <v>112</v>
      </c>
      <c r="F360">
        <v>45</v>
      </c>
    </row>
    <row r="361" spans="1:6" x14ac:dyDescent="0.2">
      <c r="A361" s="7" t="s">
        <v>86</v>
      </c>
      <c r="B361">
        <v>71417</v>
      </c>
      <c r="C361">
        <v>60</v>
      </c>
      <c r="D361">
        <v>7</v>
      </c>
      <c r="E361" t="s">
        <v>111</v>
      </c>
      <c r="F361" t="s">
        <v>115</v>
      </c>
    </row>
    <row r="362" spans="1:6" x14ac:dyDescent="0.2">
      <c r="A362" s="7" t="s">
        <v>86</v>
      </c>
      <c r="B362">
        <v>71417</v>
      </c>
      <c r="C362" s="7">
        <v>61</v>
      </c>
      <c r="D362">
        <v>7</v>
      </c>
      <c r="E362" t="s">
        <v>111</v>
      </c>
      <c r="F362">
        <v>128</v>
      </c>
    </row>
    <row r="363" spans="1:6" x14ac:dyDescent="0.2">
      <c r="A363" s="7" t="s">
        <v>86</v>
      </c>
      <c r="B363">
        <v>71417</v>
      </c>
      <c r="C363">
        <v>62</v>
      </c>
      <c r="D363">
        <v>8</v>
      </c>
      <c r="E363" t="s">
        <v>113</v>
      </c>
      <c r="F363">
        <v>180</v>
      </c>
    </row>
    <row r="364" spans="1:6" x14ac:dyDescent="0.2">
      <c r="A364" s="7" t="s">
        <v>86</v>
      </c>
      <c r="B364">
        <v>71417</v>
      </c>
      <c r="C364">
        <v>63</v>
      </c>
      <c r="D364">
        <v>8</v>
      </c>
      <c r="E364" t="s">
        <v>112</v>
      </c>
      <c r="F364">
        <v>32</v>
      </c>
    </row>
    <row r="365" spans="1:6" x14ac:dyDescent="0.2">
      <c r="A365" s="7" t="s">
        <v>86</v>
      </c>
      <c r="B365">
        <v>71417</v>
      </c>
      <c r="C365" s="7">
        <v>64</v>
      </c>
      <c r="D365">
        <v>8</v>
      </c>
      <c r="E365" t="s">
        <v>112</v>
      </c>
      <c r="F365">
        <v>90</v>
      </c>
    </row>
    <row r="366" spans="1:6" x14ac:dyDescent="0.2">
      <c r="A366" s="7" t="s">
        <v>86</v>
      </c>
      <c r="B366">
        <v>71417</v>
      </c>
      <c r="C366">
        <v>65</v>
      </c>
      <c r="D366">
        <v>8</v>
      </c>
      <c r="E366" t="s">
        <v>112</v>
      </c>
      <c r="F366">
        <v>16</v>
      </c>
    </row>
    <row r="367" spans="1:6" x14ac:dyDescent="0.2">
      <c r="A367" s="7" t="s">
        <v>86</v>
      </c>
      <c r="B367">
        <v>71417</v>
      </c>
      <c r="C367">
        <v>66</v>
      </c>
      <c r="D367">
        <v>8</v>
      </c>
      <c r="E367" t="s">
        <v>112</v>
      </c>
      <c r="F367">
        <v>64</v>
      </c>
    </row>
    <row r="368" spans="1:6" x14ac:dyDescent="0.2">
      <c r="A368" s="7" t="s">
        <v>86</v>
      </c>
      <c r="B368">
        <v>71417</v>
      </c>
      <c r="C368" s="7">
        <v>67</v>
      </c>
      <c r="D368">
        <v>8</v>
      </c>
      <c r="E368" t="s">
        <v>112</v>
      </c>
      <c r="F368">
        <v>32</v>
      </c>
    </row>
    <row r="369" spans="1:6" x14ac:dyDescent="0.2">
      <c r="A369" s="7" t="s">
        <v>86</v>
      </c>
      <c r="B369">
        <v>71417</v>
      </c>
      <c r="C369">
        <v>68</v>
      </c>
      <c r="D369">
        <v>8</v>
      </c>
      <c r="E369" t="s">
        <v>113</v>
      </c>
      <c r="F369">
        <v>90</v>
      </c>
    </row>
    <row r="370" spans="1:6" x14ac:dyDescent="0.2">
      <c r="A370" s="7" t="s">
        <v>86</v>
      </c>
      <c r="B370">
        <v>71417</v>
      </c>
      <c r="C370">
        <v>69</v>
      </c>
      <c r="D370">
        <v>8</v>
      </c>
      <c r="E370" t="s">
        <v>113</v>
      </c>
      <c r="F370">
        <v>90</v>
      </c>
    </row>
    <row r="371" spans="1:6" x14ac:dyDescent="0.2">
      <c r="A371" s="7" t="s">
        <v>86</v>
      </c>
      <c r="B371">
        <v>71417</v>
      </c>
      <c r="C371" s="7">
        <v>70</v>
      </c>
      <c r="D371">
        <v>9</v>
      </c>
      <c r="E371" t="s">
        <v>112</v>
      </c>
      <c r="F371">
        <v>32</v>
      </c>
    </row>
    <row r="372" spans="1:6" x14ac:dyDescent="0.2">
      <c r="A372" s="7" t="s">
        <v>86</v>
      </c>
      <c r="B372">
        <v>71417</v>
      </c>
      <c r="C372">
        <v>71</v>
      </c>
      <c r="D372">
        <v>9</v>
      </c>
      <c r="E372" t="s">
        <v>112</v>
      </c>
      <c r="F372">
        <v>2.8</v>
      </c>
    </row>
    <row r="373" spans="1:6" x14ac:dyDescent="0.2">
      <c r="A373" s="7" t="s">
        <v>86</v>
      </c>
      <c r="B373">
        <v>71417</v>
      </c>
      <c r="C373">
        <v>72</v>
      </c>
      <c r="D373">
        <v>9</v>
      </c>
      <c r="E373" t="s">
        <v>112</v>
      </c>
      <c r="F373">
        <v>11</v>
      </c>
    </row>
    <row r="374" spans="1:6" x14ac:dyDescent="0.2">
      <c r="A374" s="7" t="s">
        <v>86</v>
      </c>
      <c r="B374">
        <v>71417</v>
      </c>
      <c r="C374" s="7">
        <v>73</v>
      </c>
      <c r="D374">
        <v>9</v>
      </c>
      <c r="E374" t="s">
        <v>112</v>
      </c>
      <c r="F374">
        <v>64</v>
      </c>
    </row>
    <row r="375" spans="1:6" x14ac:dyDescent="0.2">
      <c r="A375" s="7" t="s">
        <v>86</v>
      </c>
      <c r="B375">
        <v>71417</v>
      </c>
      <c r="C375">
        <v>74</v>
      </c>
      <c r="D375">
        <v>9</v>
      </c>
      <c r="E375" t="s">
        <v>112</v>
      </c>
      <c r="F375">
        <v>8</v>
      </c>
    </row>
    <row r="376" spans="1:6" x14ac:dyDescent="0.2">
      <c r="A376" s="7" t="s">
        <v>86</v>
      </c>
      <c r="B376">
        <v>71417</v>
      </c>
      <c r="C376">
        <v>75</v>
      </c>
      <c r="D376">
        <v>9</v>
      </c>
      <c r="E376" t="s">
        <v>112</v>
      </c>
      <c r="F376">
        <v>32</v>
      </c>
    </row>
    <row r="377" spans="1:6" x14ac:dyDescent="0.2">
      <c r="A377" s="7" t="s">
        <v>86</v>
      </c>
      <c r="B377">
        <v>71417</v>
      </c>
      <c r="C377" s="7">
        <v>76</v>
      </c>
      <c r="D377">
        <v>9</v>
      </c>
      <c r="E377" t="s">
        <v>112</v>
      </c>
      <c r="F377" t="s">
        <v>115</v>
      </c>
    </row>
    <row r="378" spans="1:6" x14ac:dyDescent="0.2">
      <c r="A378" s="7" t="s">
        <v>86</v>
      </c>
      <c r="B378">
        <v>71417</v>
      </c>
      <c r="C378">
        <v>77</v>
      </c>
      <c r="D378">
        <v>10</v>
      </c>
      <c r="E378" t="s">
        <v>113</v>
      </c>
      <c r="F378" t="s">
        <v>115</v>
      </c>
    </row>
    <row r="379" spans="1:6" x14ac:dyDescent="0.2">
      <c r="A379" s="7" t="s">
        <v>86</v>
      </c>
      <c r="B379">
        <v>71417</v>
      </c>
      <c r="C379">
        <v>78</v>
      </c>
      <c r="D379">
        <v>10</v>
      </c>
      <c r="E379" t="s">
        <v>113</v>
      </c>
      <c r="F379">
        <v>4</v>
      </c>
    </row>
    <row r="380" spans="1:6" x14ac:dyDescent="0.2">
      <c r="A380" s="7" t="s">
        <v>86</v>
      </c>
      <c r="B380">
        <v>71417</v>
      </c>
      <c r="C380" s="7">
        <v>79</v>
      </c>
      <c r="D380">
        <v>10</v>
      </c>
      <c r="E380" t="s">
        <v>112</v>
      </c>
      <c r="F380">
        <v>32</v>
      </c>
    </row>
    <row r="381" spans="1:6" x14ac:dyDescent="0.2">
      <c r="A381" s="7" t="s">
        <v>86</v>
      </c>
      <c r="B381">
        <v>71417</v>
      </c>
      <c r="C381">
        <v>80</v>
      </c>
      <c r="D381">
        <v>10</v>
      </c>
      <c r="E381" t="s">
        <v>112</v>
      </c>
      <c r="F381">
        <v>5.6</v>
      </c>
    </row>
    <row r="382" spans="1:6" x14ac:dyDescent="0.2">
      <c r="A382" s="7" t="s">
        <v>86</v>
      </c>
      <c r="B382">
        <v>71417</v>
      </c>
      <c r="C382">
        <v>81</v>
      </c>
      <c r="D382">
        <v>10</v>
      </c>
      <c r="E382" t="s">
        <v>112</v>
      </c>
      <c r="F382">
        <v>16</v>
      </c>
    </row>
    <row r="383" spans="1:6" x14ac:dyDescent="0.2">
      <c r="A383" s="7" t="s">
        <v>86</v>
      </c>
      <c r="B383">
        <v>71417</v>
      </c>
      <c r="C383" s="7">
        <v>82</v>
      </c>
      <c r="D383">
        <v>10</v>
      </c>
      <c r="E383" t="s">
        <v>112</v>
      </c>
      <c r="F383">
        <v>180</v>
      </c>
    </row>
    <row r="384" spans="1:6" x14ac:dyDescent="0.2">
      <c r="A384" s="7" t="s">
        <v>86</v>
      </c>
      <c r="B384">
        <v>71417</v>
      </c>
      <c r="C384">
        <v>83</v>
      </c>
      <c r="D384">
        <v>10</v>
      </c>
      <c r="E384" t="s">
        <v>112</v>
      </c>
      <c r="F384">
        <v>64</v>
      </c>
    </row>
    <row r="385" spans="1:6" x14ac:dyDescent="0.2">
      <c r="A385" s="7" t="s">
        <v>86</v>
      </c>
      <c r="B385">
        <v>71417</v>
      </c>
      <c r="C385">
        <v>84</v>
      </c>
      <c r="D385">
        <v>11</v>
      </c>
      <c r="E385" t="s">
        <v>112</v>
      </c>
      <c r="F385">
        <v>5.6</v>
      </c>
    </row>
    <row r="386" spans="1:6" x14ac:dyDescent="0.2">
      <c r="A386" s="7" t="s">
        <v>86</v>
      </c>
      <c r="B386">
        <v>71417</v>
      </c>
      <c r="C386" s="7">
        <v>85</v>
      </c>
      <c r="D386">
        <v>11</v>
      </c>
      <c r="E386" t="s">
        <v>112</v>
      </c>
      <c r="F386">
        <v>45</v>
      </c>
    </row>
    <row r="387" spans="1:6" x14ac:dyDescent="0.2">
      <c r="A387" s="7" t="s">
        <v>86</v>
      </c>
      <c r="B387">
        <v>71417</v>
      </c>
      <c r="C387">
        <v>86</v>
      </c>
      <c r="D387">
        <v>11</v>
      </c>
      <c r="E387" t="s">
        <v>112</v>
      </c>
      <c r="F387">
        <v>128</v>
      </c>
    </row>
    <row r="388" spans="1:6" x14ac:dyDescent="0.2">
      <c r="A388" s="7" t="s">
        <v>86</v>
      </c>
      <c r="B388">
        <v>71417</v>
      </c>
      <c r="C388">
        <v>87</v>
      </c>
      <c r="D388">
        <v>11</v>
      </c>
      <c r="E388" t="s">
        <v>112</v>
      </c>
      <c r="F388">
        <v>64</v>
      </c>
    </row>
    <row r="389" spans="1:6" x14ac:dyDescent="0.2">
      <c r="A389" s="7" t="s">
        <v>86</v>
      </c>
      <c r="B389">
        <v>71417</v>
      </c>
      <c r="C389" s="7">
        <v>88</v>
      </c>
      <c r="D389">
        <v>11</v>
      </c>
      <c r="E389" t="s">
        <v>112</v>
      </c>
      <c r="F389">
        <v>32</v>
      </c>
    </row>
    <row r="390" spans="1:6" x14ac:dyDescent="0.2">
      <c r="A390" s="7" t="s">
        <v>86</v>
      </c>
      <c r="B390">
        <v>71417</v>
      </c>
      <c r="C390">
        <v>89</v>
      </c>
      <c r="D390">
        <v>11</v>
      </c>
      <c r="E390" t="s">
        <v>113</v>
      </c>
      <c r="F390">
        <v>180</v>
      </c>
    </row>
    <row r="391" spans="1:6" x14ac:dyDescent="0.2">
      <c r="A391" s="7" t="s">
        <v>86</v>
      </c>
      <c r="B391">
        <v>71417</v>
      </c>
      <c r="C391">
        <v>90</v>
      </c>
      <c r="D391">
        <v>12</v>
      </c>
      <c r="E391" t="s">
        <v>112</v>
      </c>
      <c r="F391">
        <v>64</v>
      </c>
    </row>
    <row r="392" spans="1:6" x14ac:dyDescent="0.2">
      <c r="A392" s="7" t="s">
        <v>86</v>
      </c>
      <c r="B392">
        <v>71417</v>
      </c>
      <c r="C392" s="7">
        <v>91</v>
      </c>
      <c r="D392">
        <v>12</v>
      </c>
      <c r="E392" t="s">
        <v>112</v>
      </c>
      <c r="F392">
        <v>16</v>
      </c>
    </row>
    <row r="393" spans="1:6" x14ac:dyDescent="0.2">
      <c r="A393" s="7" t="s">
        <v>86</v>
      </c>
      <c r="B393">
        <v>71417</v>
      </c>
      <c r="C393">
        <v>92</v>
      </c>
      <c r="D393">
        <v>12</v>
      </c>
      <c r="E393" t="s">
        <v>112</v>
      </c>
      <c r="F393">
        <v>16</v>
      </c>
    </row>
    <row r="394" spans="1:6" x14ac:dyDescent="0.2">
      <c r="A394" s="7" t="s">
        <v>86</v>
      </c>
      <c r="B394">
        <v>71417</v>
      </c>
      <c r="C394">
        <v>93</v>
      </c>
      <c r="D394">
        <v>12</v>
      </c>
      <c r="E394" t="s">
        <v>112</v>
      </c>
      <c r="F394">
        <v>64</v>
      </c>
    </row>
    <row r="395" spans="1:6" x14ac:dyDescent="0.2">
      <c r="A395" s="7" t="s">
        <v>86</v>
      </c>
      <c r="B395">
        <v>71417</v>
      </c>
      <c r="C395" s="7">
        <v>94</v>
      </c>
      <c r="D395">
        <v>12</v>
      </c>
      <c r="E395" t="s">
        <v>112</v>
      </c>
      <c r="F395">
        <v>64</v>
      </c>
    </row>
    <row r="396" spans="1:6" x14ac:dyDescent="0.2">
      <c r="A396" s="7" t="s">
        <v>86</v>
      </c>
      <c r="B396">
        <v>71417</v>
      </c>
      <c r="C396">
        <v>95</v>
      </c>
      <c r="D396">
        <v>12</v>
      </c>
      <c r="E396" t="s">
        <v>112</v>
      </c>
      <c r="F396">
        <v>3.8</v>
      </c>
    </row>
    <row r="397" spans="1:6" x14ac:dyDescent="0.2">
      <c r="A397" s="7" t="s">
        <v>86</v>
      </c>
      <c r="B397">
        <v>71417</v>
      </c>
      <c r="C397">
        <v>96</v>
      </c>
      <c r="D397">
        <v>13</v>
      </c>
      <c r="E397" t="s">
        <v>112</v>
      </c>
      <c r="F397">
        <v>11</v>
      </c>
    </row>
    <row r="398" spans="1:6" x14ac:dyDescent="0.2">
      <c r="A398" s="7" t="s">
        <v>86</v>
      </c>
      <c r="B398">
        <v>71417</v>
      </c>
      <c r="C398">
        <v>97</v>
      </c>
      <c r="D398">
        <v>13</v>
      </c>
      <c r="E398" t="s">
        <v>112</v>
      </c>
      <c r="F398">
        <v>32</v>
      </c>
    </row>
    <row r="399" spans="1:6" x14ac:dyDescent="0.2">
      <c r="A399" s="7" t="s">
        <v>86</v>
      </c>
      <c r="B399">
        <v>71417</v>
      </c>
      <c r="C399">
        <v>98</v>
      </c>
      <c r="D399">
        <v>13</v>
      </c>
      <c r="E399" t="s">
        <v>112</v>
      </c>
      <c r="F399">
        <v>11</v>
      </c>
    </row>
    <row r="400" spans="1:6" x14ac:dyDescent="0.2">
      <c r="A400" s="7" t="s">
        <v>86</v>
      </c>
      <c r="B400">
        <v>71417</v>
      </c>
      <c r="C400" s="7">
        <v>99</v>
      </c>
      <c r="D400">
        <v>13</v>
      </c>
      <c r="E400" t="s">
        <v>112</v>
      </c>
      <c r="F400">
        <v>64</v>
      </c>
    </row>
    <row r="401" spans="1:6" x14ac:dyDescent="0.2">
      <c r="A401" s="7" t="s">
        <v>86</v>
      </c>
      <c r="B401">
        <v>71417</v>
      </c>
      <c r="C401">
        <v>100</v>
      </c>
      <c r="D401" t="s">
        <v>26</v>
      </c>
      <c r="E401" t="s">
        <v>26</v>
      </c>
      <c r="F401" t="s">
        <v>26</v>
      </c>
    </row>
    <row r="402" spans="1:6" x14ac:dyDescent="0.2">
      <c r="A402" s="7" t="s">
        <v>88</v>
      </c>
      <c r="B402">
        <v>71417</v>
      </c>
      <c r="C402">
        <v>1</v>
      </c>
      <c r="D402">
        <v>1</v>
      </c>
      <c r="E402" t="s">
        <v>113</v>
      </c>
      <c r="F402">
        <v>32</v>
      </c>
    </row>
    <row r="403" spans="1:6" x14ac:dyDescent="0.2">
      <c r="A403" s="7" t="s">
        <v>88</v>
      </c>
      <c r="B403">
        <v>71417</v>
      </c>
      <c r="C403">
        <v>2</v>
      </c>
      <c r="D403">
        <v>1</v>
      </c>
      <c r="E403" t="s">
        <v>113</v>
      </c>
      <c r="F403">
        <v>90</v>
      </c>
    </row>
    <row r="404" spans="1:6" x14ac:dyDescent="0.2">
      <c r="A404" s="7" t="s">
        <v>88</v>
      </c>
      <c r="B404">
        <v>71417</v>
      </c>
      <c r="C404">
        <v>3</v>
      </c>
      <c r="D404">
        <v>1</v>
      </c>
      <c r="E404" t="s">
        <v>113</v>
      </c>
      <c r="F404">
        <v>180</v>
      </c>
    </row>
    <row r="405" spans="1:6" x14ac:dyDescent="0.2">
      <c r="A405" s="7" t="s">
        <v>88</v>
      </c>
      <c r="B405">
        <v>71417</v>
      </c>
      <c r="C405">
        <v>4</v>
      </c>
      <c r="D405">
        <v>1</v>
      </c>
      <c r="E405" t="s">
        <v>113</v>
      </c>
      <c r="F405">
        <v>2.8</v>
      </c>
    </row>
    <row r="406" spans="1:6" x14ac:dyDescent="0.2">
      <c r="A406" s="7" t="s">
        <v>88</v>
      </c>
      <c r="B406">
        <v>71417</v>
      </c>
      <c r="C406">
        <v>5</v>
      </c>
      <c r="D406">
        <v>1</v>
      </c>
      <c r="E406" t="s">
        <v>113</v>
      </c>
      <c r="F406">
        <v>4</v>
      </c>
    </row>
    <row r="407" spans="1:6" x14ac:dyDescent="0.2">
      <c r="A407" s="7" t="s">
        <v>88</v>
      </c>
      <c r="B407">
        <v>71417</v>
      </c>
      <c r="C407">
        <v>6</v>
      </c>
      <c r="D407">
        <v>1</v>
      </c>
      <c r="E407" t="s">
        <v>113</v>
      </c>
      <c r="F407">
        <v>64</v>
      </c>
    </row>
    <row r="408" spans="1:6" x14ac:dyDescent="0.2">
      <c r="A408" s="7" t="s">
        <v>88</v>
      </c>
      <c r="B408">
        <v>71417</v>
      </c>
      <c r="C408">
        <v>7</v>
      </c>
      <c r="D408">
        <v>1</v>
      </c>
      <c r="E408" t="s">
        <v>113</v>
      </c>
      <c r="F408">
        <v>16</v>
      </c>
    </row>
    <row r="409" spans="1:6" x14ac:dyDescent="0.2">
      <c r="A409" s="7" t="s">
        <v>88</v>
      </c>
      <c r="B409">
        <v>71417</v>
      </c>
      <c r="C409">
        <v>8</v>
      </c>
      <c r="D409">
        <v>1</v>
      </c>
      <c r="E409" t="s">
        <v>113</v>
      </c>
      <c r="F409">
        <v>64</v>
      </c>
    </row>
    <row r="410" spans="1:6" x14ac:dyDescent="0.2">
      <c r="A410" s="7" t="s">
        <v>88</v>
      </c>
      <c r="B410">
        <v>71417</v>
      </c>
      <c r="C410">
        <v>9</v>
      </c>
      <c r="D410">
        <v>1</v>
      </c>
      <c r="E410" t="s">
        <v>113</v>
      </c>
      <c r="F410">
        <v>64</v>
      </c>
    </row>
    <row r="411" spans="1:6" x14ac:dyDescent="0.2">
      <c r="A411" s="7" t="s">
        <v>88</v>
      </c>
      <c r="B411">
        <v>71417</v>
      </c>
      <c r="C411">
        <v>10</v>
      </c>
      <c r="D411">
        <v>1</v>
      </c>
      <c r="E411" t="s">
        <v>113</v>
      </c>
      <c r="F411">
        <v>180</v>
      </c>
    </row>
    <row r="412" spans="1:6" x14ac:dyDescent="0.2">
      <c r="A412" s="7" t="s">
        <v>88</v>
      </c>
      <c r="B412">
        <v>71417</v>
      </c>
      <c r="C412">
        <v>11</v>
      </c>
      <c r="D412">
        <v>1</v>
      </c>
      <c r="E412" t="s">
        <v>113</v>
      </c>
      <c r="F412">
        <v>180</v>
      </c>
    </row>
    <row r="413" spans="1:6" x14ac:dyDescent="0.2">
      <c r="A413" s="7" t="s">
        <v>88</v>
      </c>
      <c r="B413">
        <v>71417</v>
      </c>
      <c r="C413">
        <v>12</v>
      </c>
      <c r="D413">
        <v>1</v>
      </c>
      <c r="E413" t="s">
        <v>113</v>
      </c>
      <c r="F413">
        <v>8</v>
      </c>
    </row>
    <row r="414" spans="1:6" x14ac:dyDescent="0.2">
      <c r="A414" s="7" t="s">
        <v>88</v>
      </c>
      <c r="B414">
        <v>71417</v>
      </c>
      <c r="C414">
        <v>13</v>
      </c>
      <c r="D414">
        <v>1</v>
      </c>
      <c r="E414" t="s">
        <v>113</v>
      </c>
      <c r="F414">
        <v>90</v>
      </c>
    </row>
    <row r="415" spans="1:6" x14ac:dyDescent="0.2">
      <c r="A415" s="7" t="s">
        <v>88</v>
      </c>
      <c r="B415">
        <v>71417</v>
      </c>
      <c r="C415">
        <v>14</v>
      </c>
      <c r="D415">
        <v>1</v>
      </c>
      <c r="E415" t="s">
        <v>113</v>
      </c>
      <c r="F415">
        <v>64</v>
      </c>
    </row>
    <row r="416" spans="1:6" x14ac:dyDescent="0.2">
      <c r="A416" s="7" t="s">
        <v>88</v>
      </c>
      <c r="B416">
        <v>71417</v>
      </c>
      <c r="C416">
        <v>15</v>
      </c>
      <c r="D416">
        <v>1</v>
      </c>
      <c r="E416" t="s">
        <v>113</v>
      </c>
      <c r="F416">
        <v>64</v>
      </c>
    </row>
    <row r="417" spans="1:6" x14ac:dyDescent="0.2">
      <c r="A417" s="7" t="s">
        <v>88</v>
      </c>
      <c r="B417">
        <v>71417</v>
      </c>
      <c r="C417">
        <v>16</v>
      </c>
      <c r="D417">
        <v>1</v>
      </c>
      <c r="E417" t="s">
        <v>111</v>
      </c>
      <c r="F417" t="s">
        <v>115</v>
      </c>
    </row>
    <row r="418" spans="1:6" x14ac:dyDescent="0.2">
      <c r="A418" s="7" t="s">
        <v>88</v>
      </c>
      <c r="B418">
        <v>71417</v>
      </c>
      <c r="C418">
        <v>17</v>
      </c>
      <c r="D418">
        <v>1</v>
      </c>
      <c r="E418" t="s">
        <v>112</v>
      </c>
      <c r="F418">
        <v>180</v>
      </c>
    </row>
    <row r="419" spans="1:6" x14ac:dyDescent="0.2">
      <c r="A419" s="7" t="s">
        <v>88</v>
      </c>
      <c r="B419">
        <v>71417</v>
      </c>
      <c r="C419">
        <v>18</v>
      </c>
      <c r="D419">
        <v>1</v>
      </c>
      <c r="E419" t="s">
        <v>112</v>
      </c>
      <c r="F419">
        <v>180</v>
      </c>
    </row>
    <row r="420" spans="1:6" x14ac:dyDescent="0.2">
      <c r="A420" s="7" t="s">
        <v>88</v>
      </c>
      <c r="B420">
        <v>71417</v>
      </c>
      <c r="C420">
        <v>19</v>
      </c>
      <c r="D420">
        <v>1</v>
      </c>
      <c r="E420" t="s">
        <v>112</v>
      </c>
      <c r="F420">
        <v>180</v>
      </c>
    </row>
    <row r="421" spans="1:6" x14ac:dyDescent="0.2">
      <c r="A421" s="7" t="s">
        <v>88</v>
      </c>
      <c r="B421">
        <v>71417</v>
      </c>
      <c r="C421">
        <v>20</v>
      </c>
      <c r="D421">
        <v>1</v>
      </c>
      <c r="E421" t="s">
        <v>112</v>
      </c>
      <c r="F421">
        <v>16</v>
      </c>
    </row>
    <row r="422" spans="1:6" x14ac:dyDescent="0.2">
      <c r="A422" s="7" t="s">
        <v>88</v>
      </c>
      <c r="B422">
        <v>71417</v>
      </c>
      <c r="C422">
        <v>21</v>
      </c>
      <c r="D422">
        <v>1</v>
      </c>
      <c r="E422" t="s">
        <v>112</v>
      </c>
      <c r="F422">
        <v>11</v>
      </c>
    </row>
    <row r="423" spans="1:6" x14ac:dyDescent="0.2">
      <c r="A423" s="7" t="s">
        <v>88</v>
      </c>
      <c r="B423">
        <v>71417</v>
      </c>
      <c r="C423">
        <v>22</v>
      </c>
      <c r="D423">
        <v>1</v>
      </c>
      <c r="E423" t="s">
        <v>113</v>
      </c>
      <c r="F423">
        <v>16</v>
      </c>
    </row>
    <row r="424" spans="1:6" x14ac:dyDescent="0.2">
      <c r="A424" s="7" t="s">
        <v>88</v>
      </c>
      <c r="B424">
        <v>71417</v>
      </c>
      <c r="C424">
        <v>23</v>
      </c>
      <c r="D424">
        <v>1</v>
      </c>
      <c r="E424" t="s">
        <v>113</v>
      </c>
      <c r="F424">
        <v>11</v>
      </c>
    </row>
    <row r="425" spans="1:6" x14ac:dyDescent="0.2">
      <c r="A425" s="7" t="s">
        <v>88</v>
      </c>
      <c r="B425">
        <v>71417</v>
      </c>
      <c r="C425">
        <v>24</v>
      </c>
      <c r="D425">
        <v>1</v>
      </c>
      <c r="E425" t="s">
        <v>113</v>
      </c>
      <c r="F425">
        <v>64</v>
      </c>
    </row>
    <row r="426" spans="1:6" x14ac:dyDescent="0.2">
      <c r="A426" s="7" t="s">
        <v>88</v>
      </c>
      <c r="B426">
        <v>71417</v>
      </c>
      <c r="C426">
        <v>25</v>
      </c>
      <c r="D426">
        <v>1</v>
      </c>
      <c r="E426" t="s">
        <v>113</v>
      </c>
      <c r="F426">
        <v>180</v>
      </c>
    </row>
    <row r="427" spans="1:6" x14ac:dyDescent="0.2">
      <c r="A427" s="7" t="s">
        <v>88</v>
      </c>
      <c r="B427">
        <v>71417</v>
      </c>
      <c r="C427">
        <v>26</v>
      </c>
      <c r="D427">
        <v>1</v>
      </c>
      <c r="E427" t="s">
        <v>113</v>
      </c>
      <c r="F427">
        <v>32</v>
      </c>
    </row>
    <row r="428" spans="1:6" x14ac:dyDescent="0.2">
      <c r="A428" s="7" t="s">
        <v>88</v>
      </c>
      <c r="B428">
        <v>71417</v>
      </c>
      <c r="C428">
        <v>27</v>
      </c>
      <c r="D428">
        <v>1</v>
      </c>
      <c r="E428" t="s">
        <v>113</v>
      </c>
      <c r="F428">
        <v>64</v>
      </c>
    </row>
    <row r="429" spans="1:6" x14ac:dyDescent="0.2">
      <c r="A429" s="7" t="s">
        <v>88</v>
      </c>
      <c r="B429">
        <v>71417</v>
      </c>
      <c r="C429">
        <v>28</v>
      </c>
      <c r="D429">
        <v>1</v>
      </c>
      <c r="E429" t="s">
        <v>111</v>
      </c>
      <c r="F429">
        <v>45</v>
      </c>
    </row>
    <row r="430" spans="1:6" x14ac:dyDescent="0.2">
      <c r="A430" s="7" t="s">
        <v>88</v>
      </c>
      <c r="B430">
        <v>71417</v>
      </c>
      <c r="C430">
        <v>29</v>
      </c>
      <c r="D430">
        <v>2</v>
      </c>
      <c r="E430" t="s">
        <v>111</v>
      </c>
      <c r="F430">
        <v>45</v>
      </c>
    </row>
    <row r="431" spans="1:6" x14ac:dyDescent="0.2">
      <c r="A431" s="7" t="s">
        <v>88</v>
      </c>
      <c r="B431">
        <v>71417</v>
      </c>
      <c r="C431">
        <v>30</v>
      </c>
      <c r="D431">
        <v>2</v>
      </c>
      <c r="E431" t="s">
        <v>111</v>
      </c>
      <c r="F431">
        <v>2</v>
      </c>
    </row>
    <row r="432" spans="1:6" x14ac:dyDescent="0.2">
      <c r="A432" s="7" t="s">
        <v>88</v>
      </c>
      <c r="B432">
        <v>71417</v>
      </c>
      <c r="C432">
        <v>31</v>
      </c>
      <c r="D432">
        <v>2</v>
      </c>
      <c r="E432" t="s">
        <v>111</v>
      </c>
      <c r="F432">
        <v>64</v>
      </c>
    </row>
    <row r="433" spans="1:6" x14ac:dyDescent="0.2">
      <c r="A433" s="7" t="s">
        <v>88</v>
      </c>
      <c r="B433">
        <v>71417</v>
      </c>
      <c r="C433">
        <v>32</v>
      </c>
      <c r="D433">
        <v>2</v>
      </c>
      <c r="E433" t="s">
        <v>113</v>
      </c>
      <c r="F433">
        <v>16</v>
      </c>
    </row>
    <row r="434" spans="1:6" x14ac:dyDescent="0.2">
      <c r="A434" s="7" t="s">
        <v>88</v>
      </c>
      <c r="B434">
        <v>71417</v>
      </c>
      <c r="C434">
        <v>33</v>
      </c>
      <c r="D434">
        <v>2</v>
      </c>
      <c r="E434" t="s">
        <v>113</v>
      </c>
      <c r="F434">
        <v>180</v>
      </c>
    </row>
    <row r="435" spans="1:6" x14ac:dyDescent="0.2">
      <c r="A435" s="7" t="s">
        <v>88</v>
      </c>
      <c r="B435">
        <v>71417</v>
      </c>
      <c r="C435">
        <v>34</v>
      </c>
      <c r="D435">
        <v>2</v>
      </c>
      <c r="E435" t="s">
        <v>113</v>
      </c>
      <c r="F435">
        <v>45</v>
      </c>
    </row>
    <row r="436" spans="1:6" x14ac:dyDescent="0.2">
      <c r="A436" s="7" t="s">
        <v>88</v>
      </c>
      <c r="B436">
        <v>71417</v>
      </c>
      <c r="C436">
        <v>35</v>
      </c>
      <c r="D436">
        <v>2</v>
      </c>
      <c r="E436" t="s">
        <v>113</v>
      </c>
      <c r="F436">
        <v>54</v>
      </c>
    </row>
    <row r="437" spans="1:6" x14ac:dyDescent="0.2">
      <c r="A437" s="7" t="s">
        <v>88</v>
      </c>
      <c r="B437">
        <v>71417</v>
      </c>
      <c r="C437">
        <v>36</v>
      </c>
      <c r="D437">
        <v>2</v>
      </c>
      <c r="E437" t="s">
        <v>113</v>
      </c>
      <c r="F437">
        <v>22.6</v>
      </c>
    </row>
    <row r="438" spans="1:6" x14ac:dyDescent="0.2">
      <c r="A438" s="7" t="s">
        <v>88</v>
      </c>
      <c r="B438">
        <v>71417</v>
      </c>
      <c r="C438">
        <v>37</v>
      </c>
      <c r="D438">
        <v>2</v>
      </c>
      <c r="E438" t="s">
        <v>112</v>
      </c>
      <c r="F438">
        <v>90</v>
      </c>
    </row>
    <row r="439" spans="1:6" x14ac:dyDescent="0.2">
      <c r="A439" s="7" t="s">
        <v>88</v>
      </c>
      <c r="B439">
        <v>71417</v>
      </c>
      <c r="C439">
        <v>38</v>
      </c>
      <c r="D439">
        <v>2</v>
      </c>
      <c r="E439" t="s">
        <v>112</v>
      </c>
      <c r="F439">
        <v>90</v>
      </c>
    </row>
    <row r="440" spans="1:6" x14ac:dyDescent="0.2">
      <c r="A440" s="7" t="s">
        <v>88</v>
      </c>
      <c r="B440">
        <v>71417</v>
      </c>
      <c r="C440">
        <v>39</v>
      </c>
      <c r="D440">
        <v>2</v>
      </c>
      <c r="E440" t="s">
        <v>112</v>
      </c>
      <c r="F440">
        <v>180</v>
      </c>
    </row>
    <row r="441" spans="1:6" x14ac:dyDescent="0.2">
      <c r="A441" s="7" t="s">
        <v>88</v>
      </c>
      <c r="B441">
        <v>71417</v>
      </c>
      <c r="C441">
        <v>40</v>
      </c>
      <c r="D441">
        <v>2</v>
      </c>
      <c r="E441" t="s">
        <v>112</v>
      </c>
      <c r="F441">
        <v>5.6</v>
      </c>
    </row>
    <row r="442" spans="1:6" x14ac:dyDescent="0.2">
      <c r="A442" s="7" t="s">
        <v>88</v>
      </c>
      <c r="B442">
        <v>71417</v>
      </c>
      <c r="C442">
        <v>41</v>
      </c>
      <c r="D442">
        <v>2</v>
      </c>
      <c r="E442" t="s">
        <v>112</v>
      </c>
      <c r="F442">
        <v>11</v>
      </c>
    </row>
    <row r="443" spans="1:6" x14ac:dyDescent="0.2">
      <c r="A443" s="7" t="s">
        <v>88</v>
      </c>
      <c r="B443">
        <v>71417</v>
      </c>
      <c r="C443">
        <v>42</v>
      </c>
      <c r="D443">
        <v>2</v>
      </c>
      <c r="E443" t="s">
        <v>113</v>
      </c>
      <c r="F443">
        <v>64</v>
      </c>
    </row>
    <row r="444" spans="1:6" x14ac:dyDescent="0.2">
      <c r="A444" s="7" t="s">
        <v>88</v>
      </c>
      <c r="B444">
        <v>71417</v>
      </c>
      <c r="C444">
        <v>43</v>
      </c>
      <c r="D444">
        <v>2</v>
      </c>
      <c r="E444" t="s">
        <v>113</v>
      </c>
      <c r="F444">
        <v>22.6</v>
      </c>
    </row>
    <row r="445" spans="1:6" x14ac:dyDescent="0.2">
      <c r="A445" s="7" t="s">
        <v>88</v>
      </c>
      <c r="B445">
        <v>71417</v>
      </c>
      <c r="C445">
        <v>44</v>
      </c>
      <c r="D445">
        <v>2</v>
      </c>
      <c r="E445" t="s">
        <v>113</v>
      </c>
      <c r="F445" t="s">
        <v>115</v>
      </c>
    </row>
    <row r="446" spans="1:6" x14ac:dyDescent="0.2">
      <c r="A446" s="7" t="s">
        <v>88</v>
      </c>
      <c r="B446">
        <v>71417</v>
      </c>
      <c r="C446">
        <v>45</v>
      </c>
      <c r="D446">
        <v>2</v>
      </c>
      <c r="E446" t="s">
        <v>113</v>
      </c>
      <c r="F446" t="s">
        <v>115</v>
      </c>
    </row>
    <row r="447" spans="1:6" x14ac:dyDescent="0.2">
      <c r="A447" s="7" t="s">
        <v>88</v>
      </c>
      <c r="B447">
        <v>71417</v>
      </c>
      <c r="C447">
        <v>46</v>
      </c>
      <c r="D447">
        <v>2</v>
      </c>
      <c r="E447" t="s">
        <v>113</v>
      </c>
      <c r="F447">
        <v>2</v>
      </c>
    </row>
    <row r="448" spans="1:6" x14ac:dyDescent="0.2">
      <c r="A448" s="7" t="s">
        <v>88</v>
      </c>
      <c r="B448">
        <v>71417</v>
      </c>
      <c r="C448">
        <v>47</v>
      </c>
      <c r="D448">
        <v>2</v>
      </c>
      <c r="E448" t="s">
        <v>113</v>
      </c>
      <c r="F448">
        <v>5.6</v>
      </c>
    </row>
    <row r="449" spans="1:6" x14ac:dyDescent="0.2">
      <c r="A449" s="7" t="s">
        <v>88</v>
      </c>
      <c r="B449">
        <v>71417</v>
      </c>
      <c r="C449">
        <v>48</v>
      </c>
      <c r="D449">
        <v>2</v>
      </c>
      <c r="E449" t="s">
        <v>111</v>
      </c>
      <c r="F449">
        <v>4</v>
      </c>
    </row>
    <row r="450" spans="1:6" x14ac:dyDescent="0.2">
      <c r="A450" s="7" t="s">
        <v>88</v>
      </c>
      <c r="B450">
        <v>71417</v>
      </c>
      <c r="C450">
        <v>49</v>
      </c>
      <c r="D450">
        <v>2</v>
      </c>
      <c r="E450" t="s">
        <v>113</v>
      </c>
      <c r="F450">
        <v>128</v>
      </c>
    </row>
    <row r="451" spans="1:6" x14ac:dyDescent="0.2">
      <c r="A451" s="7" t="s">
        <v>88</v>
      </c>
      <c r="B451">
        <v>71417</v>
      </c>
      <c r="C451">
        <v>50</v>
      </c>
      <c r="D451">
        <v>2</v>
      </c>
      <c r="E451" t="s">
        <v>113</v>
      </c>
      <c r="F451">
        <v>32</v>
      </c>
    </row>
    <row r="452" spans="1:6" x14ac:dyDescent="0.2">
      <c r="A452" s="7" t="s">
        <v>88</v>
      </c>
      <c r="B452">
        <v>71417</v>
      </c>
      <c r="C452">
        <v>51</v>
      </c>
      <c r="D452">
        <v>2</v>
      </c>
      <c r="E452" t="s">
        <v>113</v>
      </c>
      <c r="F452">
        <v>11</v>
      </c>
    </row>
    <row r="453" spans="1:6" x14ac:dyDescent="0.2">
      <c r="A453" s="7" t="s">
        <v>88</v>
      </c>
      <c r="B453">
        <v>71417</v>
      </c>
      <c r="C453">
        <v>52</v>
      </c>
      <c r="D453">
        <v>3</v>
      </c>
      <c r="E453" t="s">
        <v>113</v>
      </c>
      <c r="F453">
        <v>2.8</v>
      </c>
    </row>
    <row r="454" spans="1:6" x14ac:dyDescent="0.2">
      <c r="A454" s="7" t="s">
        <v>88</v>
      </c>
      <c r="B454">
        <v>71417</v>
      </c>
      <c r="C454">
        <v>53</v>
      </c>
      <c r="D454">
        <v>3</v>
      </c>
      <c r="E454" t="s">
        <v>113</v>
      </c>
      <c r="F454">
        <v>4</v>
      </c>
    </row>
    <row r="455" spans="1:6" x14ac:dyDescent="0.2">
      <c r="A455" s="7" t="s">
        <v>88</v>
      </c>
      <c r="B455">
        <v>71417</v>
      </c>
      <c r="C455">
        <v>54</v>
      </c>
      <c r="D455">
        <v>3</v>
      </c>
      <c r="E455" t="s">
        <v>113</v>
      </c>
      <c r="F455">
        <v>64</v>
      </c>
    </row>
    <row r="456" spans="1:6" x14ac:dyDescent="0.2">
      <c r="A456" s="7" t="s">
        <v>88</v>
      </c>
      <c r="B456">
        <v>71417</v>
      </c>
      <c r="C456">
        <v>55</v>
      </c>
      <c r="D456">
        <v>3</v>
      </c>
      <c r="E456" t="s">
        <v>111</v>
      </c>
      <c r="F456">
        <v>90</v>
      </c>
    </row>
    <row r="457" spans="1:6" x14ac:dyDescent="0.2">
      <c r="A457" s="7" t="s">
        <v>88</v>
      </c>
      <c r="B457">
        <v>71417</v>
      </c>
      <c r="C457">
        <v>56</v>
      </c>
      <c r="D457">
        <v>3</v>
      </c>
      <c r="E457" t="s">
        <v>111</v>
      </c>
      <c r="F457" t="s">
        <v>115</v>
      </c>
    </row>
    <row r="458" spans="1:6" x14ac:dyDescent="0.2">
      <c r="A458" s="7" t="s">
        <v>88</v>
      </c>
      <c r="B458">
        <v>71417</v>
      </c>
      <c r="C458">
        <v>57</v>
      </c>
      <c r="D458">
        <v>3</v>
      </c>
      <c r="E458" t="s">
        <v>113</v>
      </c>
      <c r="F458" t="s">
        <v>115</v>
      </c>
    </row>
    <row r="459" spans="1:6" x14ac:dyDescent="0.2">
      <c r="A459" s="7" t="s">
        <v>88</v>
      </c>
      <c r="B459">
        <v>71417</v>
      </c>
      <c r="C459">
        <v>58</v>
      </c>
      <c r="D459">
        <v>3</v>
      </c>
      <c r="E459" t="s">
        <v>113</v>
      </c>
      <c r="F459">
        <v>45</v>
      </c>
    </row>
    <row r="460" spans="1:6" x14ac:dyDescent="0.2">
      <c r="A460" s="7" t="s">
        <v>88</v>
      </c>
      <c r="B460">
        <v>71417</v>
      </c>
      <c r="C460">
        <v>59</v>
      </c>
      <c r="D460">
        <v>3</v>
      </c>
      <c r="E460" t="s">
        <v>112</v>
      </c>
      <c r="F460">
        <v>128</v>
      </c>
    </row>
    <row r="461" spans="1:6" x14ac:dyDescent="0.2">
      <c r="A461" s="7" t="s">
        <v>88</v>
      </c>
      <c r="B461">
        <v>71417</v>
      </c>
      <c r="C461">
        <v>60</v>
      </c>
      <c r="D461">
        <v>3</v>
      </c>
      <c r="E461" t="s">
        <v>112</v>
      </c>
      <c r="F461">
        <v>90</v>
      </c>
    </row>
    <row r="462" spans="1:6" x14ac:dyDescent="0.2">
      <c r="A462" s="7" t="s">
        <v>88</v>
      </c>
      <c r="B462">
        <v>71417</v>
      </c>
      <c r="C462">
        <v>61</v>
      </c>
      <c r="D462">
        <v>3</v>
      </c>
      <c r="E462" t="s">
        <v>112</v>
      </c>
      <c r="F462">
        <v>128</v>
      </c>
    </row>
    <row r="463" spans="1:6" x14ac:dyDescent="0.2">
      <c r="A463" s="7" t="s">
        <v>88</v>
      </c>
      <c r="B463">
        <v>71417</v>
      </c>
      <c r="C463">
        <v>62</v>
      </c>
      <c r="D463">
        <v>3</v>
      </c>
      <c r="E463" t="s">
        <v>112</v>
      </c>
      <c r="F463">
        <v>16</v>
      </c>
    </row>
    <row r="464" spans="1:6" x14ac:dyDescent="0.2">
      <c r="A464" s="7" t="s">
        <v>88</v>
      </c>
      <c r="B464">
        <v>71417</v>
      </c>
      <c r="C464">
        <v>63</v>
      </c>
      <c r="D464">
        <v>3</v>
      </c>
      <c r="E464" t="s">
        <v>112</v>
      </c>
      <c r="F464">
        <v>16</v>
      </c>
    </row>
    <row r="465" spans="1:6" x14ac:dyDescent="0.2">
      <c r="A465" s="7" t="s">
        <v>88</v>
      </c>
      <c r="B465">
        <v>71417</v>
      </c>
      <c r="C465">
        <v>64</v>
      </c>
      <c r="D465">
        <v>3</v>
      </c>
      <c r="E465" t="s">
        <v>112</v>
      </c>
      <c r="F465">
        <v>64</v>
      </c>
    </row>
    <row r="466" spans="1:6" x14ac:dyDescent="0.2">
      <c r="A466" s="7" t="s">
        <v>88</v>
      </c>
      <c r="B466">
        <v>71417</v>
      </c>
      <c r="C466">
        <v>65</v>
      </c>
      <c r="D466">
        <v>3</v>
      </c>
      <c r="E466" t="s">
        <v>113</v>
      </c>
      <c r="F466">
        <v>45</v>
      </c>
    </row>
    <row r="467" spans="1:6" x14ac:dyDescent="0.2">
      <c r="A467" s="7" t="s">
        <v>88</v>
      </c>
      <c r="B467">
        <v>71417</v>
      </c>
      <c r="C467">
        <v>66</v>
      </c>
      <c r="D467">
        <v>3</v>
      </c>
      <c r="E467" t="s">
        <v>113</v>
      </c>
      <c r="F467">
        <v>180</v>
      </c>
    </row>
    <row r="468" spans="1:6" x14ac:dyDescent="0.2">
      <c r="A468" s="7" t="s">
        <v>88</v>
      </c>
      <c r="B468">
        <v>71417</v>
      </c>
      <c r="C468">
        <v>67</v>
      </c>
      <c r="D468">
        <v>3</v>
      </c>
      <c r="E468" t="s">
        <v>112</v>
      </c>
      <c r="F468">
        <v>180</v>
      </c>
    </row>
    <row r="469" spans="1:6" x14ac:dyDescent="0.2">
      <c r="A469" s="7" t="s">
        <v>88</v>
      </c>
      <c r="B469">
        <v>71417</v>
      </c>
      <c r="C469">
        <v>68</v>
      </c>
      <c r="D469">
        <v>3</v>
      </c>
      <c r="E469" t="s">
        <v>112</v>
      </c>
      <c r="F469">
        <v>32</v>
      </c>
    </row>
    <row r="470" spans="1:6" x14ac:dyDescent="0.2">
      <c r="A470" s="7" t="s">
        <v>88</v>
      </c>
      <c r="B470">
        <v>71417</v>
      </c>
      <c r="C470">
        <v>69</v>
      </c>
      <c r="D470">
        <v>3</v>
      </c>
      <c r="E470" t="s">
        <v>112</v>
      </c>
      <c r="F470">
        <v>2</v>
      </c>
    </row>
    <row r="471" spans="1:6" x14ac:dyDescent="0.2">
      <c r="A471" s="7" t="s">
        <v>88</v>
      </c>
      <c r="B471">
        <v>71417</v>
      </c>
      <c r="C471">
        <v>70</v>
      </c>
      <c r="D471">
        <v>3</v>
      </c>
      <c r="E471" t="s">
        <v>112</v>
      </c>
      <c r="F471">
        <v>11</v>
      </c>
    </row>
    <row r="472" spans="1:6" x14ac:dyDescent="0.2">
      <c r="A472" s="7" t="s">
        <v>88</v>
      </c>
      <c r="B472">
        <v>71417</v>
      </c>
      <c r="C472">
        <v>71</v>
      </c>
      <c r="D472">
        <v>3</v>
      </c>
      <c r="E472" t="s">
        <v>112</v>
      </c>
      <c r="F472">
        <v>45</v>
      </c>
    </row>
    <row r="473" spans="1:6" x14ac:dyDescent="0.2">
      <c r="A473" s="7" t="s">
        <v>88</v>
      </c>
      <c r="B473">
        <v>71417</v>
      </c>
      <c r="C473">
        <v>72</v>
      </c>
      <c r="D473">
        <v>3</v>
      </c>
      <c r="E473" t="s">
        <v>112</v>
      </c>
      <c r="F473" t="s">
        <v>115</v>
      </c>
    </row>
    <row r="474" spans="1:6" x14ac:dyDescent="0.2">
      <c r="A474" s="7" t="s">
        <v>88</v>
      </c>
      <c r="B474">
        <v>71417</v>
      </c>
      <c r="C474">
        <v>73</v>
      </c>
      <c r="D474">
        <v>3</v>
      </c>
      <c r="E474" t="s">
        <v>112</v>
      </c>
      <c r="F474">
        <v>45</v>
      </c>
    </row>
    <row r="475" spans="1:6" x14ac:dyDescent="0.2">
      <c r="A475" s="7" t="s">
        <v>88</v>
      </c>
      <c r="B475">
        <v>71417</v>
      </c>
      <c r="C475">
        <v>74</v>
      </c>
      <c r="D475">
        <v>3</v>
      </c>
      <c r="E475" t="s">
        <v>113</v>
      </c>
      <c r="F475" t="s">
        <v>115</v>
      </c>
    </row>
    <row r="476" spans="1:6" x14ac:dyDescent="0.2">
      <c r="A476" s="7" t="s">
        <v>88</v>
      </c>
      <c r="B476">
        <v>71417</v>
      </c>
      <c r="C476">
        <v>75</v>
      </c>
      <c r="D476">
        <v>4</v>
      </c>
      <c r="E476" t="s">
        <v>113</v>
      </c>
      <c r="F476" t="s">
        <v>115</v>
      </c>
    </row>
    <row r="477" spans="1:6" x14ac:dyDescent="0.2">
      <c r="A477" s="7" t="s">
        <v>88</v>
      </c>
      <c r="B477">
        <v>71417</v>
      </c>
      <c r="C477">
        <v>76</v>
      </c>
      <c r="D477">
        <v>4</v>
      </c>
      <c r="E477" t="s">
        <v>112</v>
      </c>
      <c r="F477" t="s">
        <v>115</v>
      </c>
    </row>
    <row r="478" spans="1:6" x14ac:dyDescent="0.2">
      <c r="A478" s="7" t="s">
        <v>88</v>
      </c>
      <c r="B478">
        <v>71417</v>
      </c>
      <c r="C478">
        <v>77</v>
      </c>
      <c r="D478">
        <v>4</v>
      </c>
      <c r="E478" t="s">
        <v>112</v>
      </c>
      <c r="F478" t="s">
        <v>115</v>
      </c>
    </row>
    <row r="479" spans="1:6" x14ac:dyDescent="0.2">
      <c r="A479" s="7" t="s">
        <v>88</v>
      </c>
      <c r="B479">
        <v>71417</v>
      </c>
      <c r="C479">
        <v>78</v>
      </c>
      <c r="D479">
        <v>4</v>
      </c>
      <c r="E479" t="s">
        <v>112</v>
      </c>
      <c r="F479">
        <v>16</v>
      </c>
    </row>
    <row r="480" spans="1:6" x14ac:dyDescent="0.2">
      <c r="A480" s="7" t="s">
        <v>88</v>
      </c>
      <c r="B480">
        <v>71417</v>
      </c>
      <c r="C480">
        <v>79</v>
      </c>
      <c r="D480">
        <v>4</v>
      </c>
      <c r="E480" t="s">
        <v>112</v>
      </c>
      <c r="F480">
        <v>180</v>
      </c>
    </row>
    <row r="481" spans="1:6" x14ac:dyDescent="0.2">
      <c r="A481" s="7" t="s">
        <v>88</v>
      </c>
      <c r="B481">
        <v>71417</v>
      </c>
      <c r="C481">
        <v>80</v>
      </c>
      <c r="D481">
        <v>4</v>
      </c>
      <c r="E481" t="s">
        <v>112</v>
      </c>
      <c r="F481">
        <v>180</v>
      </c>
    </row>
    <row r="482" spans="1:6" x14ac:dyDescent="0.2">
      <c r="A482" s="7" t="s">
        <v>88</v>
      </c>
      <c r="B482">
        <v>71417</v>
      </c>
      <c r="C482">
        <v>81</v>
      </c>
      <c r="D482">
        <v>4</v>
      </c>
      <c r="E482" t="s">
        <v>112</v>
      </c>
      <c r="F482">
        <v>32</v>
      </c>
    </row>
    <row r="483" spans="1:6" x14ac:dyDescent="0.2">
      <c r="A483" s="7" t="s">
        <v>88</v>
      </c>
      <c r="B483">
        <v>71417</v>
      </c>
      <c r="C483">
        <v>82</v>
      </c>
      <c r="D483">
        <v>4</v>
      </c>
      <c r="E483" t="s">
        <v>113</v>
      </c>
      <c r="F483">
        <v>32</v>
      </c>
    </row>
    <row r="484" spans="1:6" x14ac:dyDescent="0.2">
      <c r="A484" s="7" t="s">
        <v>88</v>
      </c>
      <c r="B484">
        <v>71417</v>
      </c>
      <c r="C484">
        <v>83</v>
      </c>
      <c r="D484">
        <v>4</v>
      </c>
      <c r="E484" t="s">
        <v>113</v>
      </c>
      <c r="F484">
        <v>128</v>
      </c>
    </row>
    <row r="485" spans="1:6" x14ac:dyDescent="0.2">
      <c r="A485" s="7" t="s">
        <v>88</v>
      </c>
      <c r="B485">
        <v>71417</v>
      </c>
      <c r="C485">
        <v>84</v>
      </c>
      <c r="D485">
        <v>4</v>
      </c>
      <c r="E485" t="s">
        <v>112</v>
      </c>
      <c r="F485">
        <v>32</v>
      </c>
    </row>
    <row r="486" spans="1:6" x14ac:dyDescent="0.2">
      <c r="A486" s="7" t="s">
        <v>88</v>
      </c>
      <c r="B486">
        <v>71417</v>
      </c>
      <c r="C486">
        <v>85</v>
      </c>
      <c r="D486">
        <v>4</v>
      </c>
      <c r="E486" t="s">
        <v>112</v>
      </c>
      <c r="F486">
        <v>54</v>
      </c>
    </row>
    <row r="487" spans="1:6" x14ac:dyDescent="0.2">
      <c r="A487" s="7" t="s">
        <v>88</v>
      </c>
      <c r="B487">
        <v>71417</v>
      </c>
      <c r="C487">
        <v>86</v>
      </c>
      <c r="D487">
        <v>4</v>
      </c>
      <c r="E487" t="s">
        <v>112</v>
      </c>
      <c r="F487">
        <v>16</v>
      </c>
    </row>
    <row r="488" spans="1:6" x14ac:dyDescent="0.2">
      <c r="A488" s="7" t="s">
        <v>88</v>
      </c>
      <c r="B488">
        <v>71417</v>
      </c>
      <c r="C488">
        <v>87</v>
      </c>
      <c r="D488">
        <v>4</v>
      </c>
      <c r="E488" t="s">
        <v>112</v>
      </c>
      <c r="F488">
        <v>45</v>
      </c>
    </row>
    <row r="489" spans="1:6" x14ac:dyDescent="0.2">
      <c r="A489" s="7" t="s">
        <v>88</v>
      </c>
      <c r="B489">
        <v>71417</v>
      </c>
      <c r="C489">
        <v>88</v>
      </c>
      <c r="D489">
        <v>4</v>
      </c>
      <c r="E489" t="s">
        <v>113</v>
      </c>
      <c r="F489">
        <v>180</v>
      </c>
    </row>
    <row r="490" spans="1:6" x14ac:dyDescent="0.2">
      <c r="A490" s="7" t="s">
        <v>88</v>
      </c>
      <c r="B490">
        <v>71417</v>
      </c>
      <c r="C490">
        <v>89</v>
      </c>
      <c r="D490">
        <v>4</v>
      </c>
      <c r="E490" t="s">
        <v>113</v>
      </c>
      <c r="F490">
        <v>15</v>
      </c>
    </row>
    <row r="491" spans="1:6" x14ac:dyDescent="0.2">
      <c r="A491" s="7" t="s">
        <v>88</v>
      </c>
      <c r="B491">
        <v>71417</v>
      </c>
      <c r="C491">
        <v>90</v>
      </c>
      <c r="D491">
        <v>4</v>
      </c>
      <c r="E491" t="s">
        <v>113</v>
      </c>
      <c r="F491">
        <v>22.6</v>
      </c>
    </row>
    <row r="492" spans="1:6" x14ac:dyDescent="0.2">
      <c r="A492" s="7" t="s">
        <v>88</v>
      </c>
      <c r="B492">
        <v>71417</v>
      </c>
      <c r="C492">
        <v>91</v>
      </c>
      <c r="D492">
        <v>4</v>
      </c>
      <c r="E492" t="s">
        <v>113</v>
      </c>
      <c r="F492" t="s">
        <v>115</v>
      </c>
    </row>
    <row r="493" spans="1:6" x14ac:dyDescent="0.2">
      <c r="A493" s="7" t="s">
        <v>88</v>
      </c>
      <c r="B493">
        <v>71417</v>
      </c>
      <c r="C493">
        <v>92</v>
      </c>
      <c r="D493">
        <v>4</v>
      </c>
      <c r="E493" t="s">
        <v>113</v>
      </c>
      <c r="F493">
        <v>2</v>
      </c>
    </row>
    <row r="494" spans="1:6" x14ac:dyDescent="0.2">
      <c r="A494" s="7" t="s">
        <v>88</v>
      </c>
      <c r="B494">
        <v>71417</v>
      </c>
      <c r="C494">
        <v>93</v>
      </c>
      <c r="D494">
        <v>4</v>
      </c>
      <c r="E494" t="s">
        <v>113</v>
      </c>
      <c r="F494">
        <v>4</v>
      </c>
    </row>
    <row r="495" spans="1:6" x14ac:dyDescent="0.2">
      <c r="A495" s="7" t="s">
        <v>88</v>
      </c>
      <c r="B495">
        <v>71417</v>
      </c>
      <c r="C495">
        <v>94</v>
      </c>
      <c r="D495">
        <v>4</v>
      </c>
      <c r="E495" t="s">
        <v>113</v>
      </c>
      <c r="F495" t="s">
        <v>115</v>
      </c>
    </row>
    <row r="496" spans="1:6" x14ac:dyDescent="0.2">
      <c r="A496" s="7" t="s">
        <v>88</v>
      </c>
      <c r="B496">
        <v>71417</v>
      </c>
      <c r="C496">
        <v>95</v>
      </c>
      <c r="D496">
        <v>5</v>
      </c>
      <c r="E496" t="s">
        <v>113</v>
      </c>
      <c r="F496">
        <v>32</v>
      </c>
    </row>
    <row r="497" spans="1:6" x14ac:dyDescent="0.2">
      <c r="A497" s="7" t="s">
        <v>88</v>
      </c>
      <c r="B497">
        <v>71417</v>
      </c>
      <c r="C497">
        <v>96</v>
      </c>
      <c r="D497">
        <v>5</v>
      </c>
      <c r="E497" t="s">
        <v>113</v>
      </c>
      <c r="F497">
        <v>5.6</v>
      </c>
    </row>
    <row r="498" spans="1:6" x14ac:dyDescent="0.2">
      <c r="A498" s="7" t="s">
        <v>88</v>
      </c>
      <c r="B498">
        <v>71417</v>
      </c>
      <c r="C498">
        <v>97</v>
      </c>
      <c r="D498">
        <v>5</v>
      </c>
      <c r="E498" t="s">
        <v>113</v>
      </c>
      <c r="F498" t="s">
        <v>115</v>
      </c>
    </row>
    <row r="499" spans="1:6" x14ac:dyDescent="0.2">
      <c r="A499" s="7" t="s">
        <v>88</v>
      </c>
      <c r="B499">
        <v>71417</v>
      </c>
      <c r="C499">
        <v>98</v>
      </c>
      <c r="D499">
        <v>5</v>
      </c>
      <c r="E499" t="s">
        <v>113</v>
      </c>
      <c r="F499">
        <v>64</v>
      </c>
    </row>
    <row r="500" spans="1:6" x14ac:dyDescent="0.2">
      <c r="A500" s="7" t="s">
        <v>88</v>
      </c>
      <c r="B500">
        <v>71417</v>
      </c>
      <c r="C500">
        <v>99</v>
      </c>
      <c r="D500">
        <v>5</v>
      </c>
      <c r="E500" t="s">
        <v>113</v>
      </c>
      <c r="F500">
        <v>64</v>
      </c>
    </row>
    <row r="501" spans="1:6" x14ac:dyDescent="0.2">
      <c r="A501" s="7" t="s">
        <v>88</v>
      </c>
      <c r="B501">
        <v>71417</v>
      </c>
      <c r="C501">
        <v>100</v>
      </c>
      <c r="D501">
        <v>5</v>
      </c>
      <c r="E501" t="s">
        <v>113</v>
      </c>
      <c r="F501">
        <v>11</v>
      </c>
    </row>
    <row r="502" spans="1:6" x14ac:dyDescent="0.2">
      <c r="A502" s="7" t="s">
        <v>91</v>
      </c>
      <c r="B502">
        <v>71417</v>
      </c>
      <c r="C502">
        <v>1</v>
      </c>
      <c r="D502">
        <v>1</v>
      </c>
      <c r="E502" t="s">
        <v>113</v>
      </c>
      <c r="F502" t="s">
        <v>115</v>
      </c>
    </row>
    <row r="503" spans="1:6" x14ac:dyDescent="0.2">
      <c r="A503" s="7" t="s">
        <v>91</v>
      </c>
      <c r="B503">
        <v>71417</v>
      </c>
      <c r="C503">
        <v>2</v>
      </c>
      <c r="D503">
        <v>1</v>
      </c>
      <c r="E503" t="s">
        <v>111</v>
      </c>
      <c r="F503" t="s">
        <v>115</v>
      </c>
    </row>
    <row r="504" spans="1:6" x14ac:dyDescent="0.2">
      <c r="A504" s="7" t="s">
        <v>91</v>
      </c>
      <c r="B504">
        <v>71417</v>
      </c>
      <c r="C504">
        <v>3</v>
      </c>
      <c r="D504">
        <v>1</v>
      </c>
      <c r="E504" t="s">
        <v>112</v>
      </c>
      <c r="F504" t="s">
        <v>115</v>
      </c>
    </row>
    <row r="505" spans="1:6" x14ac:dyDescent="0.2">
      <c r="A505" s="7" t="s">
        <v>91</v>
      </c>
      <c r="B505">
        <v>71417</v>
      </c>
      <c r="C505">
        <v>4</v>
      </c>
      <c r="D505">
        <v>1</v>
      </c>
      <c r="E505" t="s">
        <v>112</v>
      </c>
      <c r="F505" t="s">
        <v>115</v>
      </c>
    </row>
    <row r="506" spans="1:6" x14ac:dyDescent="0.2">
      <c r="A506" s="7" t="s">
        <v>91</v>
      </c>
      <c r="B506">
        <v>71417</v>
      </c>
      <c r="C506">
        <v>5</v>
      </c>
      <c r="D506">
        <v>1</v>
      </c>
      <c r="E506" t="s">
        <v>112</v>
      </c>
      <c r="F506">
        <v>64</v>
      </c>
    </row>
    <row r="507" spans="1:6" x14ac:dyDescent="0.2">
      <c r="A507" s="7" t="s">
        <v>91</v>
      </c>
      <c r="B507">
        <v>71417</v>
      </c>
      <c r="C507">
        <v>6</v>
      </c>
      <c r="D507">
        <v>1</v>
      </c>
      <c r="E507" t="s">
        <v>112</v>
      </c>
      <c r="F507">
        <v>32</v>
      </c>
    </row>
    <row r="508" spans="1:6" x14ac:dyDescent="0.2">
      <c r="A508" s="7" t="s">
        <v>91</v>
      </c>
      <c r="B508">
        <v>71417</v>
      </c>
      <c r="C508">
        <v>7</v>
      </c>
      <c r="D508">
        <v>1</v>
      </c>
      <c r="E508" t="s">
        <v>112</v>
      </c>
      <c r="F508">
        <v>180</v>
      </c>
    </row>
    <row r="509" spans="1:6" x14ac:dyDescent="0.2">
      <c r="A509" s="7" t="s">
        <v>91</v>
      </c>
      <c r="B509">
        <v>71417</v>
      </c>
      <c r="C509">
        <v>8</v>
      </c>
      <c r="D509">
        <v>1</v>
      </c>
      <c r="E509" t="s">
        <v>112</v>
      </c>
      <c r="F509">
        <v>180</v>
      </c>
    </row>
    <row r="510" spans="1:6" x14ac:dyDescent="0.2">
      <c r="A510" s="7" t="s">
        <v>91</v>
      </c>
      <c r="B510">
        <v>71417</v>
      </c>
      <c r="C510">
        <v>9</v>
      </c>
      <c r="D510">
        <v>1</v>
      </c>
      <c r="E510" t="s">
        <v>111</v>
      </c>
      <c r="F510" t="s">
        <v>115</v>
      </c>
    </row>
    <row r="511" spans="1:6" x14ac:dyDescent="0.2">
      <c r="A511" s="7" t="s">
        <v>91</v>
      </c>
      <c r="B511">
        <v>71417</v>
      </c>
      <c r="C511">
        <v>10</v>
      </c>
      <c r="D511">
        <v>1</v>
      </c>
      <c r="E511" t="s">
        <v>111</v>
      </c>
      <c r="F511" t="s">
        <v>115</v>
      </c>
    </row>
    <row r="512" spans="1:6" x14ac:dyDescent="0.2">
      <c r="A512" s="7" t="s">
        <v>91</v>
      </c>
      <c r="B512">
        <v>71417</v>
      </c>
      <c r="C512">
        <v>11</v>
      </c>
      <c r="D512">
        <v>1</v>
      </c>
      <c r="E512" t="s">
        <v>111</v>
      </c>
      <c r="F512" t="s">
        <v>115</v>
      </c>
    </row>
    <row r="513" spans="1:6" x14ac:dyDescent="0.2">
      <c r="A513" s="7" t="s">
        <v>91</v>
      </c>
      <c r="B513">
        <v>71417</v>
      </c>
      <c r="C513">
        <v>12</v>
      </c>
      <c r="D513">
        <v>1</v>
      </c>
      <c r="E513" t="s">
        <v>113</v>
      </c>
      <c r="F513">
        <v>128</v>
      </c>
    </row>
    <row r="514" spans="1:6" x14ac:dyDescent="0.2">
      <c r="A514" s="7" t="s">
        <v>91</v>
      </c>
      <c r="B514">
        <v>71417</v>
      </c>
      <c r="C514">
        <v>13</v>
      </c>
      <c r="D514">
        <v>1</v>
      </c>
      <c r="E514" t="s">
        <v>113</v>
      </c>
      <c r="F514" t="s">
        <v>115</v>
      </c>
    </row>
    <row r="515" spans="1:6" x14ac:dyDescent="0.2">
      <c r="A515" s="7" t="s">
        <v>91</v>
      </c>
      <c r="B515">
        <v>71417</v>
      </c>
      <c r="C515">
        <v>14</v>
      </c>
      <c r="D515">
        <v>1</v>
      </c>
      <c r="E515" t="s">
        <v>113</v>
      </c>
      <c r="F515">
        <v>32</v>
      </c>
    </row>
    <row r="516" spans="1:6" x14ac:dyDescent="0.2">
      <c r="A516" s="7" t="s">
        <v>91</v>
      </c>
      <c r="B516">
        <v>71417</v>
      </c>
      <c r="C516">
        <v>15</v>
      </c>
      <c r="D516">
        <v>1</v>
      </c>
      <c r="E516" t="s">
        <v>113</v>
      </c>
      <c r="F516">
        <v>2.8</v>
      </c>
    </row>
    <row r="517" spans="1:6" x14ac:dyDescent="0.2">
      <c r="A517" s="7" t="s">
        <v>91</v>
      </c>
      <c r="B517">
        <v>71417</v>
      </c>
      <c r="C517">
        <v>16</v>
      </c>
      <c r="D517">
        <v>1</v>
      </c>
      <c r="E517" t="s">
        <v>113</v>
      </c>
      <c r="F517">
        <v>2</v>
      </c>
    </row>
    <row r="518" spans="1:6" x14ac:dyDescent="0.2">
      <c r="A518" s="7" t="s">
        <v>91</v>
      </c>
      <c r="B518">
        <v>71417</v>
      </c>
      <c r="C518">
        <v>17</v>
      </c>
      <c r="D518">
        <v>1</v>
      </c>
      <c r="E518" t="s">
        <v>113</v>
      </c>
      <c r="F518">
        <v>2</v>
      </c>
    </row>
    <row r="519" spans="1:6" x14ac:dyDescent="0.2">
      <c r="A519" s="7" t="s">
        <v>91</v>
      </c>
      <c r="B519">
        <v>71417</v>
      </c>
      <c r="C519">
        <v>18</v>
      </c>
      <c r="D519">
        <v>1</v>
      </c>
      <c r="E519" t="s">
        <v>113</v>
      </c>
      <c r="F519">
        <v>5.6</v>
      </c>
    </row>
    <row r="520" spans="1:6" x14ac:dyDescent="0.2">
      <c r="A520" s="7" t="s">
        <v>91</v>
      </c>
      <c r="B520">
        <v>71417</v>
      </c>
      <c r="C520">
        <v>19</v>
      </c>
      <c r="D520">
        <v>1</v>
      </c>
      <c r="E520" t="s">
        <v>113</v>
      </c>
      <c r="F520">
        <v>11</v>
      </c>
    </row>
    <row r="521" spans="1:6" x14ac:dyDescent="0.2">
      <c r="A521" s="7" t="s">
        <v>91</v>
      </c>
      <c r="B521">
        <v>71417</v>
      </c>
      <c r="C521">
        <v>20</v>
      </c>
      <c r="D521">
        <v>1</v>
      </c>
      <c r="E521" t="s">
        <v>113</v>
      </c>
      <c r="F521">
        <v>128</v>
      </c>
    </row>
    <row r="522" spans="1:6" x14ac:dyDescent="0.2">
      <c r="A522" s="7" t="s">
        <v>91</v>
      </c>
      <c r="B522">
        <v>71417</v>
      </c>
      <c r="C522">
        <v>21</v>
      </c>
      <c r="D522">
        <v>1</v>
      </c>
      <c r="E522" t="s">
        <v>113</v>
      </c>
      <c r="F522" t="s">
        <v>115</v>
      </c>
    </row>
    <row r="523" spans="1:6" x14ac:dyDescent="0.2">
      <c r="A523" s="7" t="s">
        <v>91</v>
      </c>
      <c r="B523">
        <v>71417</v>
      </c>
      <c r="C523">
        <v>22</v>
      </c>
      <c r="D523">
        <v>1</v>
      </c>
      <c r="E523" t="s">
        <v>113</v>
      </c>
      <c r="F523" t="s">
        <v>115</v>
      </c>
    </row>
    <row r="524" spans="1:6" x14ac:dyDescent="0.2">
      <c r="A524" s="7" t="s">
        <v>91</v>
      </c>
      <c r="B524">
        <v>71417</v>
      </c>
      <c r="C524">
        <v>23</v>
      </c>
      <c r="D524">
        <v>1</v>
      </c>
      <c r="E524" t="s">
        <v>113</v>
      </c>
      <c r="F524">
        <v>11</v>
      </c>
    </row>
    <row r="525" spans="1:6" x14ac:dyDescent="0.2">
      <c r="A525" s="7" t="s">
        <v>91</v>
      </c>
      <c r="B525">
        <v>71417</v>
      </c>
      <c r="C525">
        <v>24</v>
      </c>
      <c r="D525">
        <v>1</v>
      </c>
      <c r="E525" t="s">
        <v>113</v>
      </c>
      <c r="F525">
        <v>180</v>
      </c>
    </row>
    <row r="526" spans="1:6" x14ac:dyDescent="0.2">
      <c r="A526" s="7" t="s">
        <v>91</v>
      </c>
      <c r="B526">
        <v>71417</v>
      </c>
      <c r="C526">
        <v>25</v>
      </c>
      <c r="D526">
        <v>1</v>
      </c>
      <c r="E526" t="s">
        <v>113</v>
      </c>
      <c r="F526">
        <v>90</v>
      </c>
    </row>
    <row r="527" spans="1:6" x14ac:dyDescent="0.2">
      <c r="A527" s="7" t="s">
        <v>91</v>
      </c>
      <c r="B527">
        <v>71417</v>
      </c>
      <c r="C527">
        <v>26</v>
      </c>
      <c r="D527">
        <v>1</v>
      </c>
      <c r="E527" t="s">
        <v>113</v>
      </c>
      <c r="F527">
        <v>90</v>
      </c>
    </row>
    <row r="528" spans="1:6" x14ac:dyDescent="0.2">
      <c r="A528" s="7" t="s">
        <v>91</v>
      </c>
      <c r="B528">
        <v>71417</v>
      </c>
      <c r="C528">
        <v>27</v>
      </c>
      <c r="D528">
        <v>1</v>
      </c>
      <c r="E528" t="s">
        <v>113</v>
      </c>
      <c r="F528">
        <v>8</v>
      </c>
    </row>
    <row r="529" spans="1:6" x14ac:dyDescent="0.2">
      <c r="A529" s="7" t="s">
        <v>91</v>
      </c>
      <c r="B529">
        <v>71417</v>
      </c>
      <c r="C529">
        <v>28</v>
      </c>
      <c r="D529">
        <v>1</v>
      </c>
      <c r="E529" t="s">
        <v>113</v>
      </c>
      <c r="F529">
        <v>5.6</v>
      </c>
    </row>
    <row r="530" spans="1:6" x14ac:dyDescent="0.2">
      <c r="A530" s="7" t="s">
        <v>91</v>
      </c>
      <c r="B530">
        <v>71417</v>
      </c>
      <c r="C530">
        <v>29</v>
      </c>
      <c r="D530">
        <v>1</v>
      </c>
      <c r="E530" t="s">
        <v>113</v>
      </c>
      <c r="F530">
        <v>90</v>
      </c>
    </row>
    <row r="531" spans="1:6" x14ac:dyDescent="0.2">
      <c r="A531" s="7" t="s">
        <v>91</v>
      </c>
      <c r="B531">
        <v>71417</v>
      </c>
      <c r="C531">
        <v>30</v>
      </c>
      <c r="D531">
        <v>1</v>
      </c>
      <c r="E531" t="s">
        <v>113</v>
      </c>
      <c r="F531">
        <v>128</v>
      </c>
    </row>
    <row r="532" spans="1:6" x14ac:dyDescent="0.2">
      <c r="A532" s="7" t="s">
        <v>91</v>
      </c>
      <c r="B532">
        <v>71417</v>
      </c>
      <c r="C532">
        <v>31</v>
      </c>
      <c r="D532">
        <v>1</v>
      </c>
      <c r="E532" t="s">
        <v>113</v>
      </c>
      <c r="F532">
        <v>128</v>
      </c>
    </row>
    <row r="533" spans="1:6" x14ac:dyDescent="0.2">
      <c r="A533" s="7" t="s">
        <v>91</v>
      </c>
      <c r="B533">
        <v>71417</v>
      </c>
      <c r="C533">
        <v>32</v>
      </c>
      <c r="D533">
        <v>1</v>
      </c>
      <c r="E533" t="s">
        <v>113</v>
      </c>
      <c r="F533">
        <v>2</v>
      </c>
    </row>
    <row r="534" spans="1:6" x14ac:dyDescent="0.2">
      <c r="A534" s="7" t="s">
        <v>91</v>
      </c>
      <c r="B534">
        <v>71417</v>
      </c>
      <c r="C534">
        <v>33</v>
      </c>
      <c r="D534">
        <v>2</v>
      </c>
      <c r="E534" t="s">
        <v>113</v>
      </c>
      <c r="F534" t="s">
        <v>115</v>
      </c>
    </row>
    <row r="535" spans="1:6" x14ac:dyDescent="0.2">
      <c r="A535" s="7" t="s">
        <v>91</v>
      </c>
      <c r="B535">
        <v>71417</v>
      </c>
      <c r="C535">
        <v>34</v>
      </c>
      <c r="D535">
        <v>2</v>
      </c>
      <c r="E535" t="s">
        <v>113</v>
      </c>
      <c r="F535">
        <v>16</v>
      </c>
    </row>
    <row r="536" spans="1:6" x14ac:dyDescent="0.2">
      <c r="A536" s="7" t="s">
        <v>91</v>
      </c>
      <c r="B536">
        <v>71417</v>
      </c>
      <c r="C536">
        <v>35</v>
      </c>
      <c r="D536">
        <v>2</v>
      </c>
      <c r="E536" t="s">
        <v>113</v>
      </c>
      <c r="F536">
        <v>64</v>
      </c>
    </row>
    <row r="537" spans="1:6" x14ac:dyDescent="0.2">
      <c r="A537" s="7" t="s">
        <v>91</v>
      </c>
      <c r="B537">
        <v>71417</v>
      </c>
      <c r="C537">
        <v>36</v>
      </c>
      <c r="D537">
        <v>2</v>
      </c>
      <c r="E537" t="s">
        <v>113</v>
      </c>
      <c r="F537">
        <v>22.6</v>
      </c>
    </row>
    <row r="538" spans="1:6" x14ac:dyDescent="0.2">
      <c r="A538" s="7" t="s">
        <v>91</v>
      </c>
      <c r="B538">
        <v>71417</v>
      </c>
      <c r="C538">
        <v>37</v>
      </c>
      <c r="D538">
        <v>2</v>
      </c>
      <c r="E538" t="s">
        <v>113</v>
      </c>
      <c r="F538">
        <v>16</v>
      </c>
    </row>
    <row r="539" spans="1:6" x14ac:dyDescent="0.2">
      <c r="A539" s="7" t="s">
        <v>91</v>
      </c>
      <c r="B539">
        <v>71417</v>
      </c>
      <c r="C539">
        <v>38</v>
      </c>
      <c r="D539">
        <v>2</v>
      </c>
      <c r="E539" t="s">
        <v>113</v>
      </c>
      <c r="F539">
        <v>45</v>
      </c>
    </row>
    <row r="540" spans="1:6" x14ac:dyDescent="0.2">
      <c r="A540" s="7" t="s">
        <v>91</v>
      </c>
      <c r="B540">
        <v>71417</v>
      </c>
      <c r="C540">
        <v>39</v>
      </c>
      <c r="D540">
        <v>2</v>
      </c>
      <c r="E540" t="s">
        <v>113</v>
      </c>
      <c r="F540">
        <v>64</v>
      </c>
    </row>
    <row r="541" spans="1:6" x14ac:dyDescent="0.2">
      <c r="A541" s="7" t="s">
        <v>91</v>
      </c>
      <c r="B541">
        <v>71417</v>
      </c>
      <c r="C541">
        <v>40</v>
      </c>
      <c r="D541">
        <v>2</v>
      </c>
      <c r="E541" t="s">
        <v>113</v>
      </c>
      <c r="F541">
        <v>32</v>
      </c>
    </row>
    <row r="542" spans="1:6" x14ac:dyDescent="0.2">
      <c r="A542" s="7" t="s">
        <v>91</v>
      </c>
      <c r="B542">
        <v>71417</v>
      </c>
      <c r="C542">
        <v>41</v>
      </c>
      <c r="D542">
        <v>2</v>
      </c>
      <c r="E542" t="s">
        <v>113</v>
      </c>
      <c r="F542">
        <v>64</v>
      </c>
    </row>
    <row r="543" spans="1:6" x14ac:dyDescent="0.2">
      <c r="A543" s="7" t="s">
        <v>91</v>
      </c>
      <c r="B543">
        <v>71417</v>
      </c>
      <c r="C543">
        <v>42</v>
      </c>
      <c r="D543">
        <v>2</v>
      </c>
      <c r="E543" t="s">
        <v>113</v>
      </c>
      <c r="F543">
        <v>32</v>
      </c>
    </row>
    <row r="544" spans="1:6" x14ac:dyDescent="0.2">
      <c r="A544" s="7" t="s">
        <v>91</v>
      </c>
      <c r="B544">
        <v>71417</v>
      </c>
      <c r="C544">
        <v>43</v>
      </c>
      <c r="D544">
        <v>2</v>
      </c>
      <c r="E544" t="s">
        <v>113</v>
      </c>
      <c r="F544">
        <v>2</v>
      </c>
    </row>
    <row r="545" spans="1:6" x14ac:dyDescent="0.2">
      <c r="A545" s="7" t="s">
        <v>91</v>
      </c>
      <c r="B545">
        <v>71417</v>
      </c>
      <c r="C545">
        <v>44</v>
      </c>
      <c r="D545">
        <v>3</v>
      </c>
      <c r="E545" t="s">
        <v>113</v>
      </c>
      <c r="F545">
        <v>2</v>
      </c>
    </row>
    <row r="546" spans="1:6" x14ac:dyDescent="0.2">
      <c r="A546" s="7" t="s">
        <v>91</v>
      </c>
      <c r="B546">
        <v>71417</v>
      </c>
      <c r="C546">
        <v>45</v>
      </c>
      <c r="D546">
        <v>3</v>
      </c>
      <c r="E546" t="s">
        <v>113</v>
      </c>
      <c r="F546">
        <v>11</v>
      </c>
    </row>
    <row r="547" spans="1:6" x14ac:dyDescent="0.2">
      <c r="A547" s="7" t="s">
        <v>91</v>
      </c>
      <c r="B547">
        <v>71417</v>
      </c>
      <c r="C547">
        <v>46</v>
      </c>
      <c r="D547">
        <v>3</v>
      </c>
      <c r="E547" t="s">
        <v>113</v>
      </c>
      <c r="F547">
        <v>11</v>
      </c>
    </row>
    <row r="548" spans="1:6" x14ac:dyDescent="0.2">
      <c r="A548" s="7" t="s">
        <v>91</v>
      </c>
      <c r="B548">
        <v>71417</v>
      </c>
      <c r="C548">
        <v>47</v>
      </c>
      <c r="D548">
        <v>3</v>
      </c>
      <c r="E548" t="s">
        <v>113</v>
      </c>
      <c r="F548">
        <v>32</v>
      </c>
    </row>
    <row r="549" spans="1:6" x14ac:dyDescent="0.2">
      <c r="A549" s="7" t="s">
        <v>91</v>
      </c>
      <c r="B549">
        <v>71417</v>
      </c>
      <c r="C549">
        <v>48</v>
      </c>
      <c r="D549">
        <v>3</v>
      </c>
      <c r="E549" t="s">
        <v>113</v>
      </c>
      <c r="F549">
        <v>45</v>
      </c>
    </row>
    <row r="550" spans="1:6" x14ac:dyDescent="0.2">
      <c r="A550" s="7" t="s">
        <v>91</v>
      </c>
      <c r="B550">
        <v>71417</v>
      </c>
      <c r="C550">
        <v>49</v>
      </c>
      <c r="D550">
        <v>3</v>
      </c>
      <c r="E550" t="s">
        <v>113</v>
      </c>
      <c r="F550">
        <v>128</v>
      </c>
    </row>
    <row r="551" spans="1:6" x14ac:dyDescent="0.2">
      <c r="A551" s="7" t="s">
        <v>91</v>
      </c>
      <c r="B551">
        <v>71417</v>
      </c>
      <c r="C551">
        <v>50</v>
      </c>
      <c r="D551">
        <v>3</v>
      </c>
      <c r="E551" t="s">
        <v>113</v>
      </c>
      <c r="F551">
        <v>64</v>
      </c>
    </row>
    <row r="552" spans="1:6" x14ac:dyDescent="0.2">
      <c r="A552" s="7" t="s">
        <v>91</v>
      </c>
      <c r="B552">
        <v>71417</v>
      </c>
      <c r="C552">
        <v>51</v>
      </c>
      <c r="D552">
        <v>3</v>
      </c>
      <c r="E552" t="s">
        <v>113</v>
      </c>
      <c r="F552">
        <v>180</v>
      </c>
    </row>
    <row r="553" spans="1:6" x14ac:dyDescent="0.2">
      <c r="A553" s="7" t="s">
        <v>91</v>
      </c>
      <c r="B553">
        <v>71417</v>
      </c>
      <c r="C553">
        <v>52</v>
      </c>
      <c r="D553">
        <v>3</v>
      </c>
      <c r="E553" t="s">
        <v>112</v>
      </c>
      <c r="F553">
        <v>180</v>
      </c>
    </row>
    <row r="554" spans="1:6" x14ac:dyDescent="0.2">
      <c r="A554" s="7" t="s">
        <v>91</v>
      </c>
      <c r="B554">
        <v>71417</v>
      </c>
      <c r="C554">
        <v>53</v>
      </c>
      <c r="D554">
        <v>3</v>
      </c>
      <c r="E554" t="s">
        <v>112</v>
      </c>
      <c r="F554">
        <v>180</v>
      </c>
    </row>
    <row r="555" spans="1:6" x14ac:dyDescent="0.2">
      <c r="A555" s="7" t="s">
        <v>91</v>
      </c>
      <c r="B555">
        <v>71417</v>
      </c>
      <c r="C555">
        <v>54</v>
      </c>
      <c r="D555">
        <v>3</v>
      </c>
      <c r="E555" t="s">
        <v>112</v>
      </c>
      <c r="F555" t="s">
        <v>115</v>
      </c>
    </row>
    <row r="556" spans="1:6" x14ac:dyDescent="0.2">
      <c r="A556" s="7" t="s">
        <v>91</v>
      </c>
      <c r="B556">
        <v>71417</v>
      </c>
      <c r="C556">
        <v>55</v>
      </c>
      <c r="D556">
        <v>3</v>
      </c>
      <c r="E556" t="s">
        <v>112</v>
      </c>
      <c r="F556" t="s">
        <v>115</v>
      </c>
    </row>
    <row r="557" spans="1:6" x14ac:dyDescent="0.2">
      <c r="A557" s="7" t="s">
        <v>91</v>
      </c>
      <c r="B557">
        <v>71417</v>
      </c>
      <c r="C557">
        <v>56</v>
      </c>
      <c r="D557">
        <v>3</v>
      </c>
      <c r="E557" t="s">
        <v>112</v>
      </c>
      <c r="F557">
        <v>180</v>
      </c>
    </row>
    <row r="558" spans="1:6" x14ac:dyDescent="0.2">
      <c r="A558" s="7" t="s">
        <v>91</v>
      </c>
      <c r="B558">
        <v>71417</v>
      </c>
      <c r="C558">
        <v>57</v>
      </c>
      <c r="D558">
        <v>3</v>
      </c>
      <c r="E558" t="s">
        <v>112</v>
      </c>
      <c r="F558">
        <v>180</v>
      </c>
    </row>
    <row r="559" spans="1:6" x14ac:dyDescent="0.2">
      <c r="A559" s="7" t="s">
        <v>91</v>
      </c>
      <c r="B559">
        <v>71417</v>
      </c>
      <c r="C559">
        <v>58</v>
      </c>
      <c r="D559">
        <v>3</v>
      </c>
      <c r="E559" t="s">
        <v>112</v>
      </c>
      <c r="F559">
        <v>180</v>
      </c>
    </row>
    <row r="560" spans="1:6" x14ac:dyDescent="0.2">
      <c r="A560" s="7" t="s">
        <v>91</v>
      </c>
      <c r="B560">
        <v>71417</v>
      </c>
      <c r="C560">
        <v>59</v>
      </c>
      <c r="D560">
        <v>3</v>
      </c>
      <c r="E560" t="s">
        <v>113</v>
      </c>
      <c r="F560">
        <v>45</v>
      </c>
    </row>
    <row r="561" spans="1:6" x14ac:dyDescent="0.2">
      <c r="A561" s="7" t="s">
        <v>91</v>
      </c>
      <c r="B561">
        <v>71417</v>
      </c>
      <c r="C561">
        <v>60</v>
      </c>
      <c r="D561">
        <v>3</v>
      </c>
      <c r="E561" t="s">
        <v>113</v>
      </c>
      <c r="F561">
        <v>32</v>
      </c>
    </row>
    <row r="562" spans="1:6" x14ac:dyDescent="0.2">
      <c r="A562" s="7" t="s">
        <v>91</v>
      </c>
      <c r="B562">
        <v>71417</v>
      </c>
      <c r="C562">
        <v>61</v>
      </c>
      <c r="D562">
        <v>3</v>
      </c>
      <c r="E562" t="s">
        <v>113</v>
      </c>
      <c r="F562">
        <v>11</v>
      </c>
    </row>
    <row r="563" spans="1:6" x14ac:dyDescent="0.2">
      <c r="A563" s="7" t="s">
        <v>91</v>
      </c>
      <c r="B563">
        <v>71417</v>
      </c>
      <c r="C563">
        <v>62</v>
      </c>
      <c r="D563">
        <v>3</v>
      </c>
      <c r="E563" t="s">
        <v>113</v>
      </c>
      <c r="F563">
        <v>64</v>
      </c>
    </row>
    <row r="564" spans="1:6" x14ac:dyDescent="0.2">
      <c r="A564" s="7" t="s">
        <v>91</v>
      </c>
      <c r="B564">
        <v>71417</v>
      </c>
      <c r="C564">
        <v>63</v>
      </c>
      <c r="D564">
        <v>3</v>
      </c>
      <c r="E564" t="s">
        <v>113</v>
      </c>
      <c r="F564" t="s">
        <v>115</v>
      </c>
    </row>
    <row r="565" spans="1:6" x14ac:dyDescent="0.2">
      <c r="A565" s="7" t="s">
        <v>91</v>
      </c>
      <c r="B565">
        <v>71417</v>
      </c>
      <c r="C565">
        <v>64</v>
      </c>
      <c r="D565">
        <v>3</v>
      </c>
      <c r="E565" t="s">
        <v>112</v>
      </c>
      <c r="F565" t="s">
        <v>115</v>
      </c>
    </row>
    <row r="566" spans="1:6" x14ac:dyDescent="0.2">
      <c r="A566" s="7" t="s">
        <v>91</v>
      </c>
      <c r="B566">
        <v>71417</v>
      </c>
      <c r="C566">
        <v>65</v>
      </c>
      <c r="D566">
        <v>3</v>
      </c>
      <c r="E566" t="s">
        <v>112</v>
      </c>
      <c r="F566">
        <v>32</v>
      </c>
    </row>
    <row r="567" spans="1:6" x14ac:dyDescent="0.2">
      <c r="A567" s="7" t="s">
        <v>91</v>
      </c>
      <c r="B567">
        <v>71417</v>
      </c>
      <c r="C567">
        <v>66</v>
      </c>
      <c r="D567">
        <v>3</v>
      </c>
      <c r="E567" t="s">
        <v>112</v>
      </c>
      <c r="F567">
        <v>64</v>
      </c>
    </row>
    <row r="568" spans="1:6" x14ac:dyDescent="0.2">
      <c r="A568" s="7" t="s">
        <v>91</v>
      </c>
      <c r="B568">
        <v>71417</v>
      </c>
      <c r="C568">
        <v>67</v>
      </c>
      <c r="D568">
        <v>3</v>
      </c>
      <c r="E568" t="s">
        <v>112</v>
      </c>
      <c r="F568" t="s">
        <v>115</v>
      </c>
    </row>
    <row r="569" spans="1:6" x14ac:dyDescent="0.2">
      <c r="A569" s="7" t="s">
        <v>91</v>
      </c>
      <c r="B569">
        <v>71417</v>
      </c>
      <c r="C569">
        <v>68</v>
      </c>
      <c r="D569">
        <v>3</v>
      </c>
      <c r="E569" t="s">
        <v>112</v>
      </c>
      <c r="F569" t="s">
        <v>115</v>
      </c>
    </row>
    <row r="570" spans="1:6" x14ac:dyDescent="0.2">
      <c r="A570" s="7" t="s">
        <v>91</v>
      </c>
      <c r="B570">
        <v>71417</v>
      </c>
      <c r="C570">
        <v>69</v>
      </c>
      <c r="D570">
        <v>3</v>
      </c>
      <c r="E570" t="s">
        <v>112</v>
      </c>
      <c r="F570" t="s">
        <v>115</v>
      </c>
    </row>
    <row r="571" spans="1:6" x14ac:dyDescent="0.2">
      <c r="A571" s="7" t="s">
        <v>91</v>
      </c>
      <c r="B571">
        <v>71417</v>
      </c>
      <c r="C571">
        <v>70</v>
      </c>
      <c r="D571">
        <v>3</v>
      </c>
      <c r="E571" t="s">
        <v>113</v>
      </c>
      <c r="F571" t="s">
        <v>115</v>
      </c>
    </row>
    <row r="572" spans="1:6" x14ac:dyDescent="0.2">
      <c r="A572" s="7" t="s">
        <v>91</v>
      </c>
      <c r="B572">
        <v>71417</v>
      </c>
      <c r="C572">
        <v>71</v>
      </c>
      <c r="D572">
        <v>3</v>
      </c>
      <c r="E572" t="s">
        <v>113</v>
      </c>
      <c r="F572" t="s">
        <v>115</v>
      </c>
    </row>
    <row r="573" spans="1:6" x14ac:dyDescent="0.2">
      <c r="A573" s="7" t="s">
        <v>91</v>
      </c>
      <c r="B573">
        <v>71417</v>
      </c>
      <c r="C573">
        <v>72</v>
      </c>
      <c r="D573">
        <v>3</v>
      </c>
      <c r="E573" t="s">
        <v>113</v>
      </c>
      <c r="F573">
        <v>90</v>
      </c>
    </row>
    <row r="574" spans="1:6" x14ac:dyDescent="0.2">
      <c r="A574" s="7" t="s">
        <v>91</v>
      </c>
      <c r="B574">
        <v>71417</v>
      </c>
      <c r="C574">
        <v>73</v>
      </c>
      <c r="D574">
        <v>3</v>
      </c>
      <c r="E574" t="s">
        <v>113</v>
      </c>
      <c r="F574">
        <v>90</v>
      </c>
    </row>
    <row r="575" spans="1:6" x14ac:dyDescent="0.2">
      <c r="A575" s="7" t="s">
        <v>91</v>
      </c>
      <c r="B575">
        <v>71417</v>
      </c>
      <c r="C575">
        <v>74</v>
      </c>
      <c r="D575">
        <v>3</v>
      </c>
      <c r="E575" t="s">
        <v>113</v>
      </c>
      <c r="F575" t="s">
        <v>115</v>
      </c>
    </row>
    <row r="576" spans="1:6" x14ac:dyDescent="0.2">
      <c r="A576" s="7" t="s">
        <v>91</v>
      </c>
      <c r="B576">
        <v>71417</v>
      </c>
      <c r="C576">
        <v>75</v>
      </c>
      <c r="D576">
        <v>3</v>
      </c>
      <c r="E576" t="s">
        <v>113</v>
      </c>
      <c r="F576">
        <v>128</v>
      </c>
    </row>
    <row r="577" spans="1:6" x14ac:dyDescent="0.2">
      <c r="A577" s="7" t="s">
        <v>91</v>
      </c>
      <c r="B577">
        <v>71417</v>
      </c>
      <c r="C577">
        <v>76</v>
      </c>
      <c r="D577">
        <v>3</v>
      </c>
      <c r="E577" t="s">
        <v>113</v>
      </c>
      <c r="F577" t="s">
        <v>115</v>
      </c>
    </row>
    <row r="578" spans="1:6" x14ac:dyDescent="0.2">
      <c r="A578" s="7" t="s">
        <v>91</v>
      </c>
      <c r="B578">
        <v>71417</v>
      </c>
      <c r="C578">
        <v>77</v>
      </c>
      <c r="D578">
        <v>3</v>
      </c>
      <c r="E578" t="s">
        <v>113</v>
      </c>
      <c r="F578">
        <v>64</v>
      </c>
    </row>
    <row r="579" spans="1:6" x14ac:dyDescent="0.2">
      <c r="A579" s="7" t="s">
        <v>91</v>
      </c>
      <c r="B579">
        <v>71417</v>
      </c>
      <c r="C579">
        <v>78</v>
      </c>
      <c r="D579">
        <v>3</v>
      </c>
      <c r="E579" t="s">
        <v>113</v>
      </c>
      <c r="F579">
        <v>45</v>
      </c>
    </row>
    <row r="580" spans="1:6" x14ac:dyDescent="0.2">
      <c r="A580" s="7" t="s">
        <v>91</v>
      </c>
      <c r="B580">
        <v>71417</v>
      </c>
      <c r="C580">
        <v>79</v>
      </c>
      <c r="D580">
        <v>3</v>
      </c>
      <c r="E580" t="s">
        <v>113</v>
      </c>
      <c r="F580">
        <v>11</v>
      </c>
    </row>
    <row r="581" spans="1:6" x14ac:dyDescent="0.2">
      <c r="A581" s="7" t="s">
        <v>91</v>
      </c>
      <c r="B581">
        <v>71417</v>
      </c>
      <c r="C581">
        <v>80</v>
      </c>
      <c r="D581">
        <v>3</v>
      </c>
      <c r="E581" t="s">
        <v>113</v>
      </c>
      <c r="F581" t="s">
        <v>115</v>
      </c>
    </row>
    <row r="582" spans="1:6" x14ac:dyDescent="0.2">
      <c r="A582" s="7" t="s">
        <v>91</v>
      </c>
      <c r="B582">
        <v>71417</v>
      </c>
      <c r="C582">
        <v>81</v>
      </c>
      <c r="D582">
        <v>3</v>
      </c>
      <c r="E582" t="s">
        <v>113</v>
      </c>
      <c r="F582" t="s">
        <v>115</v>
      </c>
    </row>
    <row r="583" spans="1:6" x14ac:dyDescent="0.2">
      <c r="A583" s="7" t="s">
        <v>91</v>
      </c>
      <c r="B583">
        <v>71417</v>
      </c>
      <c r="C583">
        <v>82</v>
      </c>
      <c r="D583">
        <v>3</v>
      </c>
      <c r="E583" t="s">
        <v>113</v>
      </c>
      <c r="F583">
        <v>22.6</v>
      </c>
    </row>
    <row r="584" spans="1:6" x14ac:dyDescent="0.2">
      <c r="A584" s="7" t="s">
        <v>91</v>
      </c>
      <c r="B584">
        <v>71417</v>
      </c>
      <c r="C584">
        <v>83</v>
      </c>
      <c r="D584">
        <v>3</v>
      </c>
      <c r="E584" t="s">
        <v>113</v>
      </c>
      <c r="F584" t="s">
        <v>115</v>
      </c>
    </row>
    <row r="585" spans="1:6" x14ac:dyDescent="0.2">
      <c r="A585" s="7" t="s">
        <v>91</v>
      </c>
      <c r="B585">
        <v>71417</v>
      </c>
      <c r="C585">
        <v>84</v>
      </c>
      <c r="D585">
        <v>3</v>
      </c>
      <c r="E585" t="s">
        <v>113</v>
      </c>
      <c r="F585" t="s">
        <v>115</v>
      </c>
    </row>
    <row r="586" spans="1:6" x14ac:dyDescent="0.2">
      <c r="A586" s="7" t="s">
        <v>91</v>
      </c>
      <c r="B586">
        <v>71417</v>
      </c>
      <c r="C586">
        <v>85</v>
      </c>
      <c r="D586">
        <v>4</v>
      </c>
      <c r="E586" t="s">
        <v>113</v>
      </c>
      <c r="F586" t="s">
        <v>115</v>
      </c>
    </row>
    <row r="587" spans="1:6" x14ac:dyDescent="0.2">
      <c r="A587" s="7" t="s">
        <v>91</v>
      </c>
      <c r="B587">
        <v>71417</v>
      </c>
      <c r="C587">
        <v>86</v>
      </c>
      <c r="D587">
        <v>4</v>
      </c>
      <c r="E587" t="s">
        <v>113</v>
      </c>
      <c r="F587">
        <v>2.8</v>
      </c>
    </row>
    <row r="588" spans="1:6" x14ac:dyDescent="0.2">
      <c r="A588" s="7" t="s">
        <v>91</v>
      </c>
      <c r="B588">
        <v>71417</v>
      </c>
      <c r="C588">
        <v>87</v>
      </c>
      <c r="D588">
        <v>4</v>
      </c>
      <c r="E588" t="s">
        <v>113</v>
      </c>
      <c r="F588">
        <v>5.6</v>
      </c>
    </row>
    <row r="589" spans="1:6" x14ac:dyDescent="0.2">
      <c r="A589" s="7" t="s">
        <v>91</v>
      </c>
      <c r="B589">
        <v>71417</v>
      </c>
      <c r="C589">
        <v>88</v>
      </c>
      <c r="D589">
        <v>4</v>
      </c>
      <c r="E589" t="s">
        <v>113</v>
      </c>
      <c r="F589" t="s">
        <v>115</v>
      </c>
    </row>
    <row r="590" spans="1:6" x14ac:dyDescent="0.2">
      <c r="A590" s="7" t="s">
        <v>91</v>
      </c>
      <c r="B590">
        <v>71417</v>
      </c>
      <c r="C590">
        <v>89</v>
      </c>
      <c r="D590">
        <v>4</v>
      </c>
      <c r="E590" t="s">
        <v>113</v>
      </c>
      <c r="F590">
        <v>11</v>
      </c>
    </row>
    <row r="591" spans="1:6" x14ac:dyDescent="0.2">
      <c r="A591" s="7" t="s">
        <v>91</v>
      </c>
      <c r="B591">
        <v>71417</v>
      </c>
      <c r="C591">
        <v>90</v>
      </c>
      <c r="D591">
        <v>4</v>
      </c>
      <c r="E591" t="s">
        <v>113</v>
      </c>
      <c r="F591">
        <v>128</v>
      </c>
    </row>
    <row r="592" spans="1:6" x14ac:dyDescent="0.2">
      <c r="A592" s="7" t="s">
        <v>91</v>
      </c>
      <c r="B592">
        <v>71417</v>
      </c>
      <c r="C592">
        <v>91</v>
      </c>
      <c r="D592">
        <v>4</v>
      </c>
      <c r="E592" t="s">
        <v>113</v>
      </c>
      <c r="F592" t="s">
        <v>115</v>
      </c>
    </row>
    <row r="593" spans="1:6" x14ac:dyDescent="0.2">
      <c r="A593" s="7" t="s">
        <v>91</v>
      </c>
      <c r="B593">
        <v>71417</v>
      </c>
      <c r="C593">
        <v>92</v>
      </c>
      <c r="D593">
        <v>4</v>
      </c>
      <c r="E593" t="s">
        <v>113</v>
      </c>
      <c r="F593" t="s">
        <v>115</v>
      </c>
    </row>
    <row r="594" spans="1:6" x14ac:dyDescent="0.2">
      <c r="A594" s="7" t="s">
        <v>91</v>
      </c>
      <c r="B594">
        <v>71417</v>
      </c>
      <c r="C594">
        <v>93</v>
      </c>
      <c r="D594">
        <v>4</v>
      </c>
      <c r="E594" t="s">
        <v>113</v>
      </c>
      <c r="F594" t="s">
        <v>115</v>
      </c>
    </row>
    <row r="595" spans="1:6" x14ac:dyDescent="0.2">
      <c r="A595" s="7" t="s">
        <v>91</v>
      </c>
      <c r="B595">
        <v>71417</v>
      </c>
      <c r="C595">
        <v>94</v>
      </c>
      <c r="D595">
        <v>4</v>
      </c>
      <c r="E595" t="s">
        <v>113</v>
      </c>
      <c r="F595">
        <v>64</v>
      </c>
    </row>
    <row r="596" spans="1:6" x14ac:dyDescent="0.2">
      <c r="A596" s="7" t="s">
        <v>91</v>
      </c>
      <c r="B596">
        <v>71417</v>
      </c>
      <c r="C596">
        <v>95</v>
      </c>
      <c r="D596">
        <v>4</v>
      </c>
      <c r="E596" t="s">
        <v>113</v>
      </c>
      <c r="F596" t="s">
        <v>115</v>
      </c>
    </row>
    <row r="597" spans="1:6" x14ac:dyDescent="0.2">
      <c r="A597" s="7" t="s">
        <v>91</v>
      </c>
      <c r="B597">
        <v>71417</v>
      </c>
      <c r="C597">
        <v>96</v>
      </c>
      <c r="D597">
        <v>4</v>
      </c>
      <c r="E597" t="s">
        <v>113</v>
      </c>
      <c r="F597">
        <v>180</v>
      </c>
    </row>
    <row r="598" spans="1:6" x14ac:dyDescent="0.2">
      <c r="A598" s="7" t="s">
        <v>91</v>
      </c>
      <c r="B598">
        <v>71417</v>
      </c>
      <c r="C598">
        <v>97</v>
      </c>
      <c r="D598">
        <v>4</v>
      </c>
      <c r="E598" t="s">
        <v>113</v>
      </c>
      <c r="F598">
        <v>128</v>
      </c>
    </row>
    <row r="599" spans="1:6" x14ac:dyDescent="0.2">
      <c r="A599" s="7" t="s">
        <v>91</v>
      </c>
      <c r="B599">
        <v>71417</v>
      </c>
      <c r="C599">
        <v>98</v>
      </c>
      <c r="D599">
        <v>4</v>
      </c>
      <c r="E599" t="s">
        <v>112</v>
      </c>
      <c r="F599">
        <v>90</v>
      </c>
    </row>
    <row r="600" spans="1:6" x14ac:dyDescent="0.2">
      <c r="A600" s="7" t="s">
        <v>91</v>
      </c>
      <c r="B600">
        <v>71417</v>
      </c>
      <c r="C600">
        <v>99</v>
      </c>
      <c r="D600">
        <v>4</v>
      </c>
      <c r="E600" t="s">
        <v>112</v>
      </c>
      <c r="F600">
        <v>32</v>
      </c>
    </row>
    <row r="601" spans="1:6" x14ac:dyDescent="0.2">
      <c r="A601" s="7" t="s">
        <v>91</v>
      </c>
      <c r="B601">
        <v>71417</v>
      </c>
      <c r="C601">
        <v>100</v>
      </c>
      <c r="D601">
        <v>4</v>
      </c>
      <c r="E601" t="s">
        <v>112</v>
      </c>
      <c r="F601" t="s">
        <v>115</v>
      </c>
    </row>
    <row r="602" spans="1:6" x14ac:dyDescent="0.2">
      <c r="A602" s="7" t="s">
        <v>93</v>
      </c>
      <c r="B602">
        <v>71517</v>
      </c>
      <c r="C602">
        <v>1</v>
      </c>
      <c r="D602">
        <v>1</v>
      </c>
      <c r="E602" t="s">
        <v>113</v>
      </c>
      <c r="F602">
        <v>180</v>
      </c>
    </row>
    <row r="603" spans="1:6" x14ac:dyDescent="0.2">
      <c r="A603" s="7" t="s">
        <v>93</v>
      </c>
      <c r="B603">
        <v>71517</v>
      </c>
      <c r="C603">
        <v>2</v>
      </c>
      <c r="D603">
        <v>1</v>
      </c>
      <c r="E603" t="s">
        <v>113</v>
      </c>
      <c r="F603">
        <v>2.8</v>
      </c>
    </row>
    <row r="604" spans="1:6" x14ac:dyDescent="0.2">
      <c r="A604" s="7" t="s">
        <v>93</v>
      </c>
      <c r="B604">
        <v>71517</v>
      </c>
      <c r="C604">
        <v>3</v>
      </c>
      <c r="D604">
        <v>1</v>
      </c>
      <c r="E604" t="s">
        <v>113</v>
      </c>
      <c r="F604">
        <v>90</v>
      </c>
    </row>
    <row r="605" spans="1:6" x14ac:dyDescent="0.2">
      <c r="A605" s="7" t="s">
        <v>93</v>
      </c>
      <c r="B605">
        <v>71517</v>
      </c>
      <c r="C605">
        <v>4</v>
      </c>
      <c r="D605">
        <v>1</v>
      </c>
      <c r="E605" t="s">
        <v>113</v>
      </c>
      <c r="F605">
        <v>90</v>
      </c>
    </row>
    <row r="606" spans="1:6" x14ac:dyDescent="0.2">
      <c r="A606" s="7" t="s">
        <v>93</v>
      </c>
      <c r="B606">
        <v>71517</v>
      </c>
      <c r="C606">
        <v>5</v>
      </c>
      <c r="D606">
        <v>1</v>
      </c>
      <c r="E606" t="s">
        <v>113</v>
      </c>
      <c r="F606">
        <v>128</v>
      </c>
    </row>
    <row r="607" spans="1:6" x14ac:dyDescent="0.2">
      <c r="A607" s="7" t="s">
        <v>93</v>
      </c>
      <c r="B607">
        <v>71517</v>
      </c>
      <c r="C607">
        <v>6</v>
      </c>
      <c r="D607">
        <v>1</v>
      </c>
      <c r="E607" t="s">
        <v>112</v>
      </c>
      <c r="F607">
        <v>180</v>
      </c>
    </row>
    <row r="608" spans="1:6" x14ac:dyDescent="0.2">
      <c r="A608" s="7" t="s">
        <v>93</v>
      </c>
      <c r="B608">
        <v>71517</v>
      </c>
      <c r="C608">
        <v>7</v>
      </c>
      <c r="D608">
        <v>1</v>
      </c>
      <c r="E608" t="s">
        <v>112</v>
      </c>
      <c r="F608">
        <v>180</v>
      </c>
    </row>
    <row r="609" spans="1:6" x14ac:dyDescent="0.2">
      <c r="A609" s="7" t="s">
        <v>93</v>
      </c>
      <c r="B609">
        <v>71517</v>
      </c>
      <c r="C609">
        <v>8</v>
      </c>
      <c r="D609">
        <v>1</v>
      </c>
      <c r="E609" t="s">
        <v>112</v>
      </c>
      <c r="F609">
        <v>11</v>
      </c>
    </row>
    <row r="610" spans="1:6" x14ac:dyDescent="0.2">
      <c r="A610" s="7" t="s">
        <v>93</v>
      </c>
      <c r="B610">
        <v>71517</v>
      </c>
      <c r="C610">
        <v>9</v>
      </c>
      <c r="D610">
        <v>2</v>
      </c>
      <c r="E610" t="s">
        <v>112</v>
      </c>
      <c r="F610">
        <v>32</v>
      </c>
    </row>
    <row r="611" spans="1:6" x14ac:dyDescent="0.2">
      <c r="A611" s="7" t="s">
        <v>93</v>
      </c>
      <c r="B611">
        <v>71517</v>
      </c>
      <c r="C611">
        <v>10</v>
      </c>
      <c r="D611">
        <v>2</v>
      </c>
      <c r="E611" t="s">
        <v>112</v>
      </c>
      <c r="F611">
        <v>180</v>
      </c>
    </row>
    <row r="612" spans="1:6" x14ac:dyDescent="0.2">
      <c r="A612" s="7" t="s">
        <v>93</v>
      </c>
      <c r="B612">
        <v>71517</v>
      </c>
      <c r="C612">
        <v>11</v>
      </c>
      <c r="D612">
        <v>2</v>
      </c>
      <c r="E612" t="s">
        <v>112</v>
      </c>
      <c r="F612">
        <v>180</v>
      </c>
    </row>
    <row r="613" spans="1:6" x14ac:dyDescent="0.2">
      <c r="A613" s="7" t="s">
        <v>93</v>
      </c>
      <c r="B613">
        <v>71517</v>
      </c>
      <c r="C613">
        <v>12</v>
      </c>
      <c r="D613">
        <v>2</v>
      </c>
      <c r="E613" t="s">
        <v>113</v>
      </c>
      <c r="F613">
        <v>45</v>
      </c>
    </row>
    <row r="614" spans="1:6" x14ac:dyDescent="0.2">
      <c r="A614" s="7" t="s">
        <v>93</v>
      </c>
      <c r="B614">
        <v>71517</v>
      </c>
      <c r="C614">
        <v>13</v>
      </c>
      <c r="D614">
        <v>2</v>
      </c>
      <c r="E614" t="s">
        <v>113</v>
      </c>
      <c r="F614">
        <v>180</v>
      </c>
    </row>
    <row r="615" spans="1:6" x14ac:dyDescent="0.2">
      <c r="A615" s="7" t="s">
        <v>93</v>
      </c>
      <c r="B615">
        <v>71517</v>
      </c>
      <c r="C615">
        <v>14</v>
      </c>
      <c r="D615">
        <v>2</v>
      </c>
      <c r="E615" t="s">
        <v>113</v>
      </c>
      <c r="F615">
        <v>128</v>
      </c>
    </row>
    <row r="616" spans="1:6" x14ac:dyDescent="0.2">
      <c r="A616" s="7" t="s">
        <v>93</v>
      </c>
      <c r="B616">
        <v>71517</v>
      </c>
      <c r="C616">
        <v>15</v>
      </c>
      <c r="D616">
        <v>2</v>
      </c>
      <c r="E616" t="s">
        <v>113</v>
      </c>
      <c r="F616">
        <v>16</v>
      </c>
    </row>
    <row r="617" spans="1:6" x14ac:dyDescent="0.2">
      <c r="A617" s="7" t="s">
        <v>93</v>
      </c>
      <c r="B617">
        <v>71517</v>
      </c>
      <c r="C617">
        <v>16</v>
      </c>
      <c r="D617">
        <v>2</v>
      </c>
      <c r="E617" t="s">
        <v>113</v>
      </c>
      <c r="F617">
        <v>180</v>
      </c>
    </row>
    <row r="618" spans="1:6" x14ac:dyDescent="0.2">
      <c r="A618" s="7" t="s">
        <v>93</v>
      </c>
      <c r="B618">
        <v>71517</v>
      </c>
      <c r="C618">
        <v>17</v>
      </c>
      <c r="D618">
        <v>2</v>
      </c>
      <c r="E618" t="s">
        <v>113</v>
      </c>
      <c r="F618">
        <v>180</v>
      </c>
    </row>
    <row r="619" spans="1:6" x14ac:dyDescent="0.2">
      <c r="A619" s="7" t="s">
        <v>93</v>
      </c>
      <c r="B619">
        <v>71517</v>
      </c>
      <c r="C619">
        <v>18</v>
      </c>
      <c r="D619">
        <v>2</v>
      </c>
      <c r="E619" t="s">
        <v>113</v>
      </c>
      <c r="F619">
        <v>180</v>
      </c>
    </row>
    <row r="620" spans="1:6" x14ac:dyDescent="0.2">
      <c r="A620" s="7" t="s">
        <v>93</v>
      </c>
      <c r="B620">
        <v>71517</v>
      </c>
      <c r="C620">
        <v>19</v>
      </c>
      <c r="D620">
        <v>2</v>
      </c>
      <c r="E620" t="s">
        <v>113</v>
      </c>
      <c r="F620">
        <v>16</v>
      </c>
    </row>
    <row r="621" spans="1:6" x14ac:dyDescent="0.2">
      <c r="A621" s="7" t="s">
        <v>93</v>
      </c>
      <c r="B621">
        <v>71517</v>
      </c>
      <c r="C621">
        <v>20</v>
      </c>
      <c r="D621">
        <v>2</v>
      </c>
      <c r="E621" t="s">
        <v>113</v>
      </c>
      <c r="F621">
        <v>11</v>
      </c>
    </row>
    <row r="622" spans="1:6" x14ac:dyDescent="0.2">
      <c r="A622" s="7" t="s">
        <v>93</v>
      </c>
      <c r="B622">
        <v>71517</v>
      </c>
      <c r="C622">
        <v>21</v>
      </c>
      <c r="D622">
        <v>2</v>
      </c>
      <c r="E622" t="s">
        <v>113</v>
      </c>
      <c r="F622">
        <v>5.6</v>
      </c>
    </row>
    <row r="623" spans="1:6" x14ac:dyDescent="0.2">
      <c r="A623" s="7" t="s">
        <v>93</v>
      </c>
      <c r="B623">
        <v>71517</v>
      </c>
      <c r="C623">
        <v>22</v>
      </c>
      <c r="D623">
        <v>2</v>
      </c>
      <c r="E623" t="s">
        <v>113</v>
      </c>
      <c r="F623">
        <v>8</v>
      </c>
    </row>
    <row r="624" spans="1:6" x14ac:dyDescent="0.2">
      <c r="A624" s="7" t="s">
        <v>93</v>
      </c>
      <c r="B624">
        <v>71517</v>
      </c>
      <c r="C624">
        <v>23</v>
      </c>
      <c r="D624">
        <v>2</v>
      </c>
      <c r="E624" t="s">
        <v>113</v>
      </c>
      <c r="F624">
        <v>22.6</v>
      </c>
    </row>
    <row r="625" spans="1:6" x14ac:dyDescent="0.2">
      <c r="A625" s="7" t="s">
        <v>93</v>
      </c>
      <c r="B625">
        <v>71517</v>
      </c>
      <c r="C625">
        <v>24</v>
      </c>
      <c r="D625">
        <v>2</v>
      </c>
      <c r="E625" t="s">
        <v>113</v>
      </c>
      <c r="F625">
        <v>180</v>
      </c>
    </row>
    <row r="626" spans="1:6" x14ac:dyDescent="0.2">
      <c r="A626" s="7" t="s">
        <v>93</v>
      </c>
      <c r="B626">
        <v>71517</v>
      </c>
      <c r="C626">
        <v>25</v>
      </c>
      <c r="D626">
        <v>2</v>
      </c>
      <c r="E626" t="s">
        <v>112</v>
      </c>
      <c r="F626">
        <v>22.6</v>
      </c>
    </row>
    <row r="627" spans="1:6" x14ac:dyDescent="0.2">
      <c r="A627" s="7" t="s">
        <v>93</v>
      </c>
      <c r="B627">
        <v>71517</v>
      </c>
      <c r="C627">
        <v>26</v>
      </c>
      <c r="D627">
        <v>2</v>
      </c>
      <c r="E627" t="s">
        <v>112</v>
      </c>
      <c r="F627">
        <v>32</v>
      </c>
    </row>
    <row r="628" spans="1:6" x14ac:dyDescent="0.2">
      <c r="A628" s="7" t="s">
        <v>93</v>
      </c>
      <c r="B628">
        <v>71517</v>
      </c>
      <c r="C628">
        <v>27</v>
      </c>
      <c r="D628">
        <v>3</v>
      </c>
      <c r="E628" t="s">
        <v>112</v>
      </c>
      <c r="F628">
        <v>32</v>
      </c>
    </row>
    <row r="629" spans="1:6" x14ac:dyDescent="0.2">
      <c r="A629" s="7" t="s">
        <v>93</v>
      </c>
      <c r="B629">
        <v>71517</v>
      </c>
      <c r="C629">
        <v>28</v>
      </c>
      <c r="D629">
        <v>3</v>
      </c>
      <c r="E629" t="s">
        <v>112</v>
      </c>
      <c r="F629">
        <v>4</v>
      </c>
    </row>
    <row r="630" spans="1:6" x14ac:dyDescent="0.2">
      <c r="A630" s="7" t="s">
        <v>93</v>
      </c>
      <c r="B630">
        <v>71517</v>
      </c>
      <c r="C630">
        <v>29</v>
      </c>
      <c r="D630">
        <v>3</v>
      </c>
      <c r="E630" t="s">
        <v>112</v>
      </c>
      <c r="F630">
        <v>22.6</v>
      </c>
    </row>
    <row r="631" spans="1:6" x14ac:dyDescent="0.2">
      <c r="A631" s="7" t="s">
        <v>93</v>
      </c>
      <c r="B631">
        <v>71517</v>
      </c>
      <c r="C631">
        <v>30</v>
      </c>
      <c r="D631">
        <v>3</v>
      </c>
      <c r="E631" t="s">
        <v>112</v>
      </c>
      <c r="F631">
        <v>90</v>
      </c>
    </row>
    <row r="632" spans="1:6" x14ac:dyDescent="0.2">
      <c r="A632" s="7" t="s">
        <v>93</v>
      </c>
      <c r="B632">
        <v>71517</v>
      </c>
      <c r="C632">
        <v>31</v>
      </c>
      <c r="D632">
        <v>3</v>
      </c>
      <c r="E632" t="s">
        <v>112</v>
      </c>
      <c r="F632">
        <v>8</v>
      </c>
    </row>
    <row r="633" spans="1:6" x14ac:dyDescent="0.2">
      <c r="A633" s="7" t="s">
        <v>93</v>
      </c>
      <c r="B633">
        <v>71517</v>
      </c>
      <c r="C633">
        <v>32</v>
      </c>
      <c r="D633">
        <v>3</v>
      </c>
      <c r="E633" t="s">
        <v>113</v>
      </c>
      <c r="F633">
        <v>22.6</v>
      </c>
    </row>
    <row r="634" spans="1:6" x14ac:dyDescent="0.2">
      <c r="A634" s="7" t="s">
        <v>93</v>
      </c>
      <c r="B634">
        <v>71517</v>
      </c>
      <c r="C634">
        <v>33</v>
      </c>
      <c r="D634">
        <v>3</v>
      </c>
      <c r="E634" t="s">
        <v>113</v>
      </c>
      <c r="F634">
        <v>8</v>
      </c>
    </row>
    <row r="635" spans="1:6" x14ac:dyDescent="0.2">
      <c r="A635" s="7" t="s">
        <v>93</v>
      </c>
      <c r="B635">
        <v>71517</v>
      </c>
      <c r="C635">
        <v>34</v>
      </c>
      <c r="D635">
        <v>3</v>
      </c>
      <c r="E635" t="s">
        <v>113</v>
      </c>
      <c r="F635">
        <v>2.8</v>
      </c>
    </row>
    <row r="636" spans="1:6" x14ac:dyDescent="0.2">
      <c r="A636" s="7" t="s">
        <v>93</v>
      </c>
      <c r="B636">
        <v>71517</v>
      </c>
      <c r="C636">
        <v>35</v>
      </c>
      <c r="D636">
        <v>3</v>
      </c>
      <c r="E636" t="s">
        <v>113</v>
      </c>
      <c r="F636">
        <v>128</v>
      </c>
    </row>
    <row r="637" spans="1:6" x14ac:dyDescent="0.2">
      <c r="A637" s="7" t="s">
        <v>93</v>
      </c>
      <c r="B637">
        <v>71517</v>
      </c>
      <c r="C637">
        <v>36</v>
      </c>
      <c r="D637">
        <v>3</v>
      </c>
      <c r="E637" t="s">
        <v>113</v>
      </c>
      <c r="F637">
        <v>128</v>
      </c>
    </row>
    <row r="638" spans="1:6" x14ac:dyDescent="0.2">
      <c r="A638" s="7" t="s">
        <v>93</v>
      </c>
      <c r="B638">
        <v>71517</v>
      </c>
      <c r="C638">
        <v>37</v>
      </c>
      <c r="D638">
        <v>4</v>
      </c>
      <c r="E638" t="s">
        <v>113</v>
      </c>
      <c r="F638">
        <v>4</v>
      </c>
    </row>
    <row r="639" spans="1:6" x14ac:dyDescent="0.2">
      <c r="A639" s="7" t="s">
        <v>93</v>
      </c>
      <c r="B639">
        <v>71517</v>
      </c>
      <c r="C639">
        <v>38</v>
      </c>
      <c r="D639">
        <v>4</v>
      </c>
      <c r="E639" t="s">
        <v>113</v>
      </c>
      <c r="F639">
        <v>8</v>
      </c>
    </row>
    <row r="640" spans="1:6" x14ac:dyDescent="0.2">
      <c r="A640" s="7" t="s">
        <v>93</v>
      </c>
      <c r="B640">
        <v>71517</v>
      </c>
      <c r="C640">
        <v>39</v>
      </c>
      <c r="D640">
        <v>4</v>
      </c>
      <c r="E640" t="s">
        <v>113</v>
      </c>
      <c r="F640" t="s">
        <v>115</v>
      </c>
    </row>
    <row r="641" spans="1:6" x14ac:dyDescent="0.2">
      <c r="A641" s="7" t="s">
        <v>93</v>
      </c>
      <c r="B641">
        <v>71517</v>
      </c>
      <c r="C641">
        <v>40</v>
      </c>
      <c r="D641">
        <v>4</v>
      </c>
      <c r="E641" t="s">
        <v>113</v>
      </c>
      <c r="F641">
        <v>4</v>
      </c>
    </row>
    <row r="642" spans="1:6" x14ac:dyDescent="0.2">
      <c r="A642" s="7" t="s">
        <v>93</v>
      </c>
      <c r="B642">
        <v>71517</v>
      </c>
      <c r="C642">
        <v>41</v>
      </c>
      <c r="D642">
        <v>4</v>
      </c>
      <c r="E642" t="s">
        <v>111</v>
      </c>
      <c r="F642">
        <v>64</v>
      </c>
    </row>
    <row r="643" spans="1:6" x14ac:dyDescent="0.2">
      <c r="A643" s="7" t="s">
        <v>93</v>
      </c>
      <c r="B643">
        <v>71517</v>
      </c>
      <c r="C643">
        <v>42</v>
      </c>
      <c r="D643">
        <v>4</v>
      </c>
      <c r="E643" t="s">
        <v>113</v>
      </c>
      <c r="F643">
        <v>16</v>
      </c>
    </row>
    <row r="644" spans="1:6" x14ac:dyDescent="0.2">
      <c r="A644" s="7" t="s">
        <v>93</v>
      </c>
      <c r="B644">
        <v>71517</v>
      </c>
      <c r="C644">
        <v>43</v>
      </c>
      <c r="D644">
        <v>4</v>
      </c>
      <c r="E644" t="s">
        <v>113</v>
      </c>
      <c r="F644">
        <v>180</v>
      </c>
    </row>
    <row r="645" spans="1:6" x14ac:dyDescent="0.2">
      <c r="A645" s="7" t="s">
        <v>93</v>
      </c>
      <c r="B645">
        <v>71517</v>
      </c>
      <c r="C645">
        <v>44</v>
      </c>
      <c r="D645">
        <v>4</v>
      </c>
      <c r="E645" t="s">
        <v>113</v>
      </c>
      <c r="F645" t="s">
        <v>115</v>
      </c>
    </row>
    <row r="646" spans="1:6" x14ac:dyDescent="0.2">
      <c r="A646" s="7" t="s">
        <v>93</v>
      </c>
      <c r="B646">
        <v>71517</v>
      </c>
      <c r="C646">
        <v>45</v>
      </c>
      <c r="D646">
        <v>4</v>
      </c>
      <c r="E646" t="s">
        <v>111</v>
      </c>
      <c r="F646">
        <v>64</v>
      </c>
    </row>
    <row r="647" spans="1:6" x14ac:dyDescent="0.2">
      <c r="A647" s="7" t="s">
        <v>93</v>
      </c>
      <c r="B647">
        <v>71517</v>
      </c>
      <c r="C647">
        <v>46</v>
      </c>
      <c r="D647">
        <v>4</v>
      </c>
      <c r="E647" t="s">
        <v>111</v>
      </c>
      <c r="F647">
        <v>45</v>
      </c>
    </row>
    <row r="648" spans="1:6" x14ac:dyDescent="0.2">
      <c r="A648" s="7" t="s">
        <v>93</v>
      </c>
      <c r="B648">
        <v>71517</v>
      </c>
      <c r="C648">
        <v>47</v>
      </c>
      <c r="D648">
        <v>4</v>
      </c>
      <c r="E648" t="s">
        <v>111</v>
      </c>
      <c r="F648">
        <v>64</v>
      </c>
    </row>
    <row r="649" spans="1:6" x14ac:dyDescent="0.2">
      <c r="A649" s="7" t="s">
        <v>93</v>
      </c>
      <c r="B649">
        <v>71517</v>
      </c>
      <c r="C649">
        <v>48</v>
      </c>
      <c r="D649">
        <v>4</v>
      </c>
      <c r="E649" t="s">
        <v>113</v>
      </c>
      <c r="F649">
        <v>45</v>
      </c>
    </row>
    <row r="650" spans="1:6" x14ac:dyDescent="0.2">
      <c r="A650" s="7" t="s">
        <v>93</v>
      </c>
      <c r="B650">
        <v>71517</v>
      </c>
      <c r="C650">
        <v>49</v>
      </c>
      <c r="D650">
        <v>4</v>
      </c>
      <c r="E650" t="s">
        <v>111</v>
      </c>
      <c r="F650">
        <v>11</v>
      </c>
    </row>
    <row r="651" spans="1:6" x14ac:dyDescent="0.2">
      <c r="A651" s="7" t="s">
        <v>93</v>
      </c>
      <c r="B651">
        <v>71517</v>
      </c>
      <c r="C651">
        <v>50</v>
      </c>
      <c r="D651">
        <v>4</v>
      </c>
      <c r="E651" t="s">
        <v>113</v>
      </c>
      <c r="F651">
        <v>22.6</v>
      </c>
    </row>
    <row r="652" spans="1:6" x14ac:dyDescent="0.2">
      <c r="A652" s="7" t="s">
        <v>93</v>
      </c>
      <c r="B652">
        <v>71517</v>
      </c>
      <c r="C652">
        <v>51</v>
      </c>
      <c r="D652">
        <v>4</v>
      </c>
      <c r="E652" t="s">
        <v>111</v>
      </c>
      <c r="F652">
        <v>32</v>
      </c>
    </row>
    <row r="653" spans="1:6" x14ac:dyDescent="0.2">
      <c r="A653" s="7" t="s">
        <v>93</v>
      </c>
      <c r="B653">
        <v>71517</v>
      </c>
      <c r="C653">
        <v>52</v>
      </c>
      <c r="D653">
        <v>4</v>
      </c>
      <c r="E653" t="s">
        <v>112</v>
      </c>
      <c r="F653">
        <v>32</v>
      </c>
    </row>
    <row r="654" spans="1:6" x14ac:dyDescent="0.2">
      <c r="A654" s="7" t="s">
        <v>93</v>
      </c>
      <c r="B654">
        <v>71517</v>
      </c>
      <c r="C654">
        <v>53</v>
      </c>
      <c r="D654">
        <v>4</v>
      </c>
      <c r="E654" t="s">
        <v>112</v>
      </c>
      <c r="F654">
        <v>5.6</v>
      </c>
    </row>
    <row r="655" spans="1:6" x14ac:dyDescent="0.2">
      <c r="A655" s="7" t="s">
        <v>93</v>
      </c>
      <c r="B655">
        <v>71517</v>
      </c>
      <c r="C655">
        <v>54</v>
      </c>
      <c r="D655">
        <v>4</v>
      </c>
      <c r="E655" t="s">
        <v>112</v>
      </c>
      <c r="F655">
        <v>4</v>
      </c>
    </row>
    <row r="656" spans="1:6" x14ac:dyDescent="0.2">
      <c r="A656" s="7" t="s">
        <v>93</v>
      </c>
      <c r="B656">
        <v>71517</v>
      </c>
      <c r="C656">
        <v>55</v>
      </c>
      <c r="D656">
        <v>4</v>
      </c>
      <c r="E656" t="s">
        <v>111</v>
      </c>
      <c r="F656">
        <v>45</v>
      </c>
    </row>
    <row r="657" spans="1:6" x14ac:dyDescent="0.2">
      <c r="A657" s="7" t="s">
        <v>93</v>
      </c>
      <c r="B657">
        <v>71517</v>
      </c>
      <c r="C657">
        <v>56</v>
      </c>
      <c r="D657">
        <v>5</v>
      </c>
      <c r="E657" t="s">
        <v>111</v>
      </c>
      <c r="F657">
        <v>2.8</v>
      </c>
    </row>
    <row r="658" spans="1:6" x14ac:dyDescent="0.2">
      <c r="A658" s="7" t="s">
        <v>93</v>
      </c>
      <c r="B658">
        <v>71517</v>
      </c>
      <c r="C658">
        <v>57</v>
      </c>
      <c r="D658">
        <v>5</v>
      </c>
      <c r="E658" t="s">
        <v>111</v>
      </c>
      <c r="F658">
        <v>16</v>
      </c>
    </row>
    <row r="659" spans="1:6" x14ac:dyDescent="0.2">
      <c r="A659" s="7" t="s">
        <v>93</v>
      </c>
      <c r="B659">
        <v>71517</v>
      </c>
      <c r="C659">
        <v>58</v>
      </c>
      <c r="D659">
        <v>5</v>
      </c>
      <c r="E659" t="s">
        <v>111</v>
      </c>
      <c r="F659">
        <v>8</v>
      </c>
    </row>
    <row r="660" spans="1:6" x14ac:dyDescent="0.2">
      <c r="A660" s="7" t="s">
        <v>93</v>
      </c>
      <c r="B660">
        <v>71517</v>
      </c>
      <c r="C660">
        <v>59</v>
      </c>
      <c r="D660">
        <v>5</v>
      </c>
      <c r="E660" t="s">
        <v>112</v>
      </c>
      <c r="F660">
        <v>5.6</v>
      </c>
    </row>
    <row r="661" spans="1:6" x14ac:dyDescent="0.2">
      <c r="A661" s="7" t="s">
        <v>93</v>
      </c>
      <c r="B661">
        <v>71517</v>
      </c>
      <c r="C661">
        <v>60</v>
      </c>
      <c r="D661">
        <v>5</v>
      </c>
      <c r="E661" t="s">
        <v>112</v>
      </c>
      <c r="F661">
        <v>11</v>
      </c>
    </row>
    <row r="662" spans="1:6" x14ac:dyDescent="0.2">
      <c r="A662" s="7" t="s">
        <v>93</v>
      </c>
      <c r="B662">
        <v>71517</v>
      </c>
      <c r="C662">
        <v>61</v>
      </c>
      <c r="D662">
        <v>6</v>
      </c>
      <c r="E662" t="s">
        <v>112</v>
      </c>
      <c r="F662">
        <v>22.6</v>
      </c>
    </row>
    <row r="663" spans="1:6" x14ac:dyDescent="0.2">
      <c r="A663" s="7" t="s">
        <v>93</v>
      </c>
      <c r="B663">
        <v>71517</v>
      </c>
      <c r="C663">
        <v>62</v>
      </c>
      <c r="D663">
        <v>6</v>
      </c>
      <c r="E663" t="s">
        <v>112</v>
      </c>
      <c r="F663">
        <v>16</v>
      </c>
    </row>
    <row r="664" spans="1:6" x14ac:dyDescent="0.2">
      <c r="A664" s="7" t="s">
        <v>93</v>
      </c>
      <c r="B664">
        <v>71517</v>
      </c>
      <c r="C664">
        <v>63</v>
      </c>
      <c r="D664">
        <v>6</v>
      </c>
      <c r="E664" t="s">
        <v>112</v>
      </c>
      <c r="F664">
        <v>8</v>
      </c>
    </row>
    <row r="665" spans="1:6" x14ac:dyDescent="0.2">
      <c r="A665" s="7" t="s">
        <v>93</v>
      </c>
      <c r="B665">
        <v>71517</v>
      </c>
      <c r="C665">
        <v>64</v>
      </c>
      <c r="D665">
        <v>6</v>
      </c>
      <c r="E665" t="s">
        <v>112</v>
      </c>
      <c r="F665">
        <v>11</v>
      </c>
    </row>
    <row r="666" spans="1:6" x14ac:dyDescent="0.2">
      <c r="A666" s="7" t="s">
        <v>93</v>
      </c>
      <c r="B666">
        <v>71517</v>
      </c>
      <c r="C666">
        <v>65</v>
      </c>
      <c r="D666">
        <v>7</v>
      </c>
      <c r="E666" t="s">
        <v>112</v>
      </c>
      <c r="F666">
        <v>32</v>
      </c>
    </row>
    <row r="667" spans="1:6" x14ac:dyDescent="0.2">
      <c r="A667" s="7" t="s">
        <v>93</v>
      </c>
      <c r="B667">
        <v>71517</v>
      </c>
      <c r="C667">
        <v>66</v>
      </c>
      <c r="D667">
        <v>7</v>
      </c>
      <c r="E667" t="s">
        <v>112</v>
      </c>
      <c r="F667">
        <v>5.6</v>
      </c>
    </row>
    <row r="668" spans="1:6" x14ac:dyDescent="0.2">
      <c r="A668" s="7" t="s">
        <v>93</v>
      </c>
      <c r="B668">
        <v>71517</v>
      </c>
      <c r="C668">
        <v>67</v>
      </c>
      <c r="D668">
        <v>7</v>
      </c>
      <c r="E668" t="s">
        <v>112</v>
      </c>
      <c r="F668">
        <v>54</v>
      </c>
    </row>
    <row r="669" spans="1:6" x14ac:dyDescent="0.2">
      <c r="A669" s="7" t="s">
        <v>93</v>
      </c>
      <c r="B669">
        <v>71517</v>
      </c>
      <c r="C669">
        <v>68</v>
      </c>
      <c r="D669">
        <v>7</v>
      </c>
      <c r="E669" t="s">
        <v>112</v>
      </c>
      <c r="F669">
        <v>2.8</v>
      </c>
    </row>
    <row r="670" spans="1:6" x14ac:dyDescent="0.2">
      <c r="A670" s="7" t="s">
        <v>93</v>
      </c>
      <c r="B670">
        <v>71517</v>
      </c>
      <c r="C670">
        <v>69</v>
      </c>
      <c r="D670">
        <v>8</v>
      </c>
      <c r="E670" t="s">
        <v>112</v>
      </c>
      <c r="F670">
        <v>45</v>
      </c>
    </row>
    <row r="671" spans="1:6" x14ac:dyDescent="0.2">
      <c r="A671" s="7" t="s">
        <v>93</v>
      </c>
      <c r="B671">
        <v>71517</v>
      </c>
      <c r="C671">
        <v>70</v>
      </c>
      <c r="D671">
        <v>8</v>
      </c>
      <c r="E671" t="s">
        <v>112</v>
      </c>
      <c r="F671">
        <v>32</v>
      </c>
    </row>
    <row r="672" spans="1:6" x14ac:dyDescent="0.2">
      <c r="A672" s="7" t="s">
        <v>93</v>
      </c>
      <c r="B672">
        <v>71517</v>
      </c>
      <c r="C672">
        <v>71</v>
      </c>
      <c r="D672">
        <v>8</v>
      </c>
      <c r="E672" t="s">
        <v>112</v>
      </c>
      <c r="F672">
        <v>22.6</v>
      </c>
    </row>
    <row r="673" spans="1:6" x14ac:dyDescent="0.2">
      <c r="A673" s="7" t="s">
        <v>93</v>
      </c>
      <c r="B673">
        <v>71517</v>
      </c>
      <c r="C673">
        <v>72</v>
      </c>
      <c r="D673">
        <v>8</v>
      </c>
      <c r="E673" t="s">
        <v>113</v>
      </c>
      <c r="F673">
        <v>180</v>
      </c>
    </row>
    <row r="674" spans="1:6" x14ac:dyDescent="0.2">
      <c r="A674" s="7" t="s">
        <v>93</v>
      </c>
      <c r="B674">
        <v>71517</v>
      </c>
      <c r="C674">
        <v>73</v>
      </c>
      <c r="D674">
        <v>9</v>
      </c>
      <c r="E674" t="s">
        <v>112</v>
      </c>
      <c r="F674">
        <v>22.6</v>
      </c>
    </row>
    <row r="675" spans="1:6" x14ac:dyDescent="0.2">
      <c r="A675" s="7" t="s">
        <v>93</v>
      </c>
      <c r="B675">
        <v>71517</v>
      </c>
      <c r="C675">
        <v>74</v>
      </c>
      <c r="D675">
        <v>9</v>
      </c>
      <c r="E675" t="s">
        <v>111</v>
      </c>
      <c r="F675">
        <v>22.6</v>
      </c>
    </row>
    <row r="676" spans="1:6" x14ac:dyDescent="0.2">
      <c r="A676" s="7" t="s">
        <v>93</v>
      </c>
      <c r="B676">
        <v>71517</v>
      </c>
      <c r="C676">
        <v>75</v>
      </c>
      <c r="D676">
        <v>9</v>
      </c>
      <c r="E676" t="s">
        <v>111</v>
      </c>
      <c r="F676">
        <v>45</v>
      </c>
    </row>
    <row r="677" spans="1:6" x14ac:dyDescent="0.2">
      <c r="A677" s="7" t="s">
        <v>93</v>
      </c>
      <c r="B677">
        <v>71517</v>
      </c>
      <c r="C677">
        <v>76</v>
      </c>
      <c r="D677">
        <v>9</v>
      </c>
      <c r="E677" t="s">
        <v>111</v>
      </c>
      <c r="F677">
        <v>32</v>
      </c>
    </row>
    <row r="678" spans="1:6" x14ac:dyDescent="0.2">
      <c r="A678" s="7" t="s">
        <v>93</v>
      </c>
      <c r="B678">
        <v>71517</v>
      </c>
      <c r="C678">
        <v>77</v>
      </c>
      <c r="D678">
        <v>10</v>
      </c>
      <c r="E678" t="s">
        <v>111</v>
      </c>
      <c r="F678">
        <v>90</v>
      </c>
    </row>
    <row r="679" spans="1:6" x14ac:dyDescent="0.2">
      <c r="A679" s="7" t="s">
        <v>93</v>
      </c>
      <c r="B679">
        <v>71517</v>
      </c>
      <c r="C679">
        <v>78</v>
      </c>
      <c r="D679">
        <v>10</v>
      </c>
      <c r="E679" t="s">
        <v>111</v>
      </c>
      <c r="F679">
        <v>64</v>
      </c>
    </row>
    <row r="680" spans="1:6" x14ac:dyDescent="0.2">
      <c r="A680" s="7" t="s">
        <v>93</v>
      </c>
      <c r="B680">
        <v>71517</v>
      </c>
      <c r="C680">
        <v>79</v>
      </c>
      <c r="D680">
        <v>10</v>
      </c>
      <c r="E680" t="s">
        <v>111</v>
      </c>
      <c r="F680">
        <v>45</v>
      </c>
    </row>
    <row r="681" spans="1:6" x14ac:dyDescent="0.2">
      <c r="A681" s="7" t="s">
        <v>93</v>
      </c>
      <c r="B681">
        <v>71517</v>
      </c>
      <c r="C681">
        <v>80</v>
      </c>
      <c r="D681">
        <v>10</v>
      </c>
      <c r="E681" t="s">
        <v>111</v>
      </c>
      <c r="F681">
        <v>8</v>
      </c>
    </row>
    <row r="682" spans="1:6" x14ac:dyDescent="0.2">
      <c r="A682" s="7" t="s">
        <v>93</v>
      </c>
      <c r="B682">
        <v>71517</v>
      </c>
      <c r="C682">
        <v>81</v>
      </c>
      <c r="D682">
        <v>10</v>
      </c>
      <c r="E682" t="s">
        <v>113</v>
      </c>
      <c r="F682">
        <v>180</v>
      </c>
    </row>
    <row r="683" spans="1:6" x14ac:dyDescent="0.2">
      <c r="A683" s="7" t="s">
        <v>93</v>
      </c>
      <c r="B683">
        <v>71517</v>
      </c>
      <c r="C683">
        <v>82</v>
      </c>
      <c r="D683">
        <v>11</v>
      </c>
      <c r="E683" t="s">
        <v>112</v>
      </c>
      <c r="F683">
        <v>22.6</v>
      </c>
    </row>
    <row r="684" spans="1:6" x14ac:dyDescent="0.2">
      <c r="A684" s="7" t="s">
        <v>93</v>
      </c>
      <c r="B684">
        <v>71517</v>
      </c>
      <c r="C684">
        <v>83</v>
      </c>
      <c r="D684">
        <v>11</v>
      </c>
      <c r="E684" t="s">
        <v>112</v>
      </c>
      <c r="F684">
        <v>32</v>
      </c>
    </row>
    <row r="685" spans="1:6" x14ac:dyDescent="0.2">
      <c r="A685" s="7" t="s">
        <v>93</v>
      </c>
      <c r="B685">
        <v>71517</v>
      </c>
      <c r="C685">
        <v>84</v>
      </c>
      <c r="D685">
        <v>11</v>
      </c>
      <c r="E685" t="s">
        <v>112</v>
      </c>
      <c r="F685">
        <v>90</v>
      </c>
    </row>
    <row r="686" spans="1:6" x14ac:dyDescent="0.2">
      <c r="A686" s="7" t="s">
        <v>93</v>
      </c>
      <c r="B686">
        <v>71517</v>
      </c>
      <c r="C686">
        <v>85</v>
      </c>
      <c r="D686">
        <v>11</v>
      </c>
      <c r="E686" t="s">
        <v>112</v>
      </c>
      <c r="F686">
        <v>180</v>
      </c>
    </row>
    <row r="687" spans="1:6" x14ac:dyDescent="0.2">
      <c r="A687" s="7" t="s">
        <v>93</v>
      </c>
      <c r="B687">
        <v>71517</v>
      </c>
      <c r="C687">
        <v>86</v>
      </c>
      <c r="D687">
        <v>11</v>
      </c>
      <c r="E687" t="s">
        <v>112</v>
      </c>
      <c r="F687">
        <v>16</v>
      </c>
    </row>
    <row r="688" spans="1:6" x14ac:dyDescent="0.2">
      <c r="A688" s="7" t="s">
        <v>93</v>
      </c>
      <c r="B688">
        <v>71517</v>
      </c>
      <c r="C688">
        <v>87</v>
      </c>
      <c r="D688">
        <v>11</v>
      </c>
      <c r="E688" t="s">
        <v>113</v>
      </c>
      <c r="F688">
        <v>180</v>
      </c>
    </row>
    <row r="689" spans="1:6" x14ac:dyDescent="0.2">
      <c r="A689" s="7" t="s">
        <v>93</v>
      </c>
      <c r="B689">
        <v>71517</v>
      </c>
      <c r="C689">
        <v>88</v>
      </c>
      <c r="D689">
        <v>11</v>
      </c>
      <c r="E689" t="s">
        <v>113</v>
      </c>
      <c r="F689">
        <v>32</v>
      </c>
    </row>
    <row r="690" spans="1:6" x14ac:dyDescent="0.2">
      <c r="A690" s="7" t="s">
        <v>93</v>
      </c>
      <c r="B690">
        <v>71517</v>
      </c>
      <c r="C690">
        <v>89</v>
      </c>
      <c r="D690">
        <v>12</v>
      </c>
      <c r="E690" t="s">
        <v>113</v>
      </c>
      <c r="F690">
        <v>128</v>
      </c>
    </row>
    <row r="691" spans="1:6" x14ac:dyDescent="0.2">
      <c r="A691" s="7" t="s">
        <v>93</v>
      </c>
      <c r="B691">
        <v>71517</v>
      </c>
      <c r="C691">
        <v>90</v>
      </c>
      <c r="D691">
        <v>12</v>
      </c>
      <c r="E691" t="s">
        <v>113</v>
      </c>
      <c r="F691">
        <v>64</v>
      </c>
    </row>
    <row r="692" spans="1:6" x14ac:dyDescent="0.2">
      <c r="A692" s="7" t="s">
        <v>93</v>
      </c>
      <c r="B692">
        <v>71517</v>
      </c>
      <c r="C692">
        <v>91</v>
      </c>
      <c r="D692">
        <v>12</v>
      </c>
      <c r="E692" t="s">
        <v>112</v>
      </c>
      <c r="F692">
        <v>180</v>
      </c>
    </row>
    <row r="693" spans="1:6" x14ac:dyDescent="0.2">
      <c r="A693" s="7" t="s">
        <v>93</v>
      </c>
      <c r="B693">
        <v>71517</v>
      </c>
      <c r="C693">
        <v>92</v>
      </c>
      <c r="D693">
        <v>12</v>
      </c>
      <c r="E693" t="s">
        <v>112</v>
      </c>
      <c r="F693">
        <v>180</v>
      </c>
    </row>
    <row r="694" spans="1:6" x14ac:dyDescent="0.2">
      <c r="A694" s="7" t="s">
        <v>93</v>
      </c>
      <c r="B694">
        <v>71517</v>
      </c>
      <c r="C694">
        <v>93</v>
      </c>
      <c r="D694">
        <v>12</v>
      </c>
      <c r="E694" t="s">
        <v>112</v>
      </c>
      <c r="F694">
        <v>180</v>
      </c>
    </row>
    <row r="695" spans="1:6" x14ac:dyDescent="0.2">
      <c r="A695" s="7" t="s">
        <v>93</v>
      </c>
      <c r="B695">
        <v>71517</v>
      </c>
      <c r="C695">
        <v>94</v>
      </c>
      <c r="D695">
        <v>12</v>
      </c>
      <c r="E695" t="s">
        <v>113</v>
      </c>
      <c r="F695">
        <v>2.8</v>
      </c>
    </row>
    <row r="696" spans="1:6" x14ac:dyDescent="0.2">
      <c r="A696" s="7" t="s">
        <v>93</v>
      </c>
      <c r="B696">
        <v>71517</v>
      </c>
      <c r="C696">
        <v>95</v>
      </c>
      <c r="D696">
        <v>13</v>
      </c>
      <c r="E696" t="s">
        <v>111</v>
      </c>
      <c r="F696">
        <v>32</v>
      </c>
    </row>
    <row r="697" spans="1:6" x14ac:dyDescent="0.2">
      <c r="A697" s="7" t="s">
        <v>93</v>
      </c>
      <c r="B697">
        <v>71517</v>
      </c>
      <c r="C697">
        <v>96</v>
      </c>
      <c r="D697">
        <v>13</v>
      </c>
      <c r="E697" t="s">
        <v>111</v>
      </c>
      <c r="F697">
        <v>16</v>
      </c>
    </row>
    <row r="698" spans="1:6" x14ac:dyDescent="0.2">
      <c r="A698" s="7" t="s">
        <v>93</v>
      </c>
      <c r="B698">
        <v>71517</v>
      </c>
      <c r="C698">
        <v>97</v>
      </c>
      <c r="D698">
        <v>13</v>
      </c>
      <c r="E698" t="s">
        <v>111</v>
      </c>
      <c r="F698">
        <v>180</v>
      </c>
    </row>
    <row r="699" spans="1:6" x14ac:dyDescent="0.2">
      <c r="A699" s="7" t="s">
        <v>93</v>
      </c>
      <c r="B699">
        <v>71517</v>
      </c>
      <c r="C699">
        <v>98</v>
      </c>
      <c r="D699">
        <v>13</v>
      </c>
      <c r="E699" t="s">
        <v>111</v>
      </c>
      <c r="F699">
        <v>128</v>
      </c>
    </row>
    <row r="700" spans="1:6" x14ac:dyDescent="0.2">
      <c r="A700" s="7" t="s">
        <v>93</v>
      </c>
      <c r="B700">
        <v>71517</v>
      </c>
      <c r="C700">
        <v>99</v>
      </c>
      <c r="D700">
        <v>13</v>
      </c>
      <c r="E700" t="s">
        <v>111</v>
      </c>
      <c r="F700">
        <v>11</v>
      </c>
    </row>
    <row r="701" spans="1:6" x14ac:dyDescent="0.2">
      <c r="A701" s="7" t="s">
        <v>93</v>
      </c>
      <c r="B701">
        <v>71517</v>
      </c>
      <c r="C701">
        <v>100</v>
      </c>
      <c r="D701">
        <v>13</v>
      </c>
      <c r="E701" t="s">
        <v>111</v>
      </c>
      <c r="F701">
        <v>16</v>
      </c>
    </row>
    <row r="702" spans="1:6" x14ac:dyDescent="0.2">
      <c r="A702" s="7" t="s">
        <v>119</v>
      </c>
      <c r="B702">
        <v>71717</v>
      </c>
      <c r="C702">
        <v>1</v>
      </c>
      <c r="D702">
        <v>1</v>
      </c>
      <c r="E702" t="s">
        <v>131</v>
      </c>
      <c r="F702" t="s">
        <v>115</v>
      </c>
    </row>
    <row r="703" spans="1:6" x14ac:dyDescent="0.2">
      <c r="A703" s="7" t="s">
        <v>119</v>
      </c>
      <c r="B703">
        <v>71717</v>
      </c>
      <c r="C703">
        <v>2</v>
      </c>
      <c r="D703">
        <v>1</v>
      </c>
      <c r="E703" t="s">
        <v>131</v>
      </c>
      <c r="F703" t="s">
        <v>115</v>
      </c>
    </row>
    <row r="704" spans="1:6" x14ac:dyDescent="0.2">
      <c r="A704" s="7" t="s">
        <v>119</v>
      </c>
      <c r="B704">
        <v>71717</v>
      </c>
      <c r="C704">
        <v>3</v>
      </c>
      <c r="D704">
        <v>1</v>
      </c>
      <c r="E704" t="s">
        <v>131</v>
      </c>
      <c r="F704" t="s">
        <v>115</v>
      </c>
    </row>
    <row r="705" spans="1:6" x14ac:dyDescent="0.2">
      <c r="A705" s="7" t="s">
        <v>119</v>
      </c>
      <c r="B705">
        <v>71717</v>
      </c>
      <c r="C705">
        <v>4</v>
      </c>
      <c r="D705">
        <v>1</v>
      </c>
      <c r="E705" t="s">
        <v>131</v>
      </c>
      <c r="F705" t="s">
        <v>115</v>
      </c>
    </row>
    <row r="706" spans="1:6" x14ac:dyDescent="0.2">
      <c r="A706" s="7" t="s">
        <v>119</v>
      </c>
      <c r="B706">
        <v>71717</v>
      </c>
      <c r="C706">
        <v>5</v>
      </c>
      <c r="D706">
        <v>1</v>
      </c>
      <c r="E706" t="s">
        <v>131</v>
      </c>
      <c r="F706">
        <v>90</v>
      </c>
    </row>
    <row r="707" spans="1:6" x14ac:dyDescent="0.2">
      <c r="A707" s="7" t="s">
        <v>119</v>
      </c>
      <c r="B707">
        <v>71717</v>
      </c>
      <c r="C707">
        <v>6</v>
      </c>
      <c r="D707">
        <v>1</v>
      </c>
      <c r="E707" t="s">
        <v>131</v>
      </c>
      <c r="F707">
        <v>90</v>
      </c>
    </row>
    <row r="708" spans="1:6" x14ac:dyDescent="0.2">
      <c r="A708" s="7" t="s">
        <v>119</v>
      </c>
      <c r="B708">
        <v>71717</v>
      </c>
      <c r="C708">
        <v>7</v>
      </c>
      <c r="D708">
        <v>1</v>
      </c>
      <c r="E708" t="s">
        <v>131</v>
      </c>
      <c r="F708">
        <v>90</v>
      </c>
    </row>
    <row r="709" spans="1:6" x14ac:dyDescent="0.2">
      <c r="A709" s="7" t="s">
        <v>119</v>
      </c>
      <c r="B709">
        <v>71717</v>
      </c>
      <c r="C709">
        <v>8</v>
      </c>
      <c r="D709">
        <v>1</v>
      </c>
      <c r="E709" t="s">
        <v>131</v>
      </c>
      <c r="F709">
        <v>90</v>
      </c>
    </row>
    <row r="710" spans="1:6" x14ac:dyDescent="0.2">
      <c r="A710" s="7" t="s">
        <v>119</v>
      </c>
      <c r="B710">
        <v>71717</v>
      </c>
      <c r="C710">
        <v>9</v>
      </c>
      <c r="D710">
        <v>1</v>
      </c>
      <c r="E710" t="s">
        <v>131</v>
      </c>
      <c r="F710" t="s">
        <v>115</v>
      </c>
    </row>
    <row r="711" spans="1:6" x14ac:dyDescent="0.2">
      <c r="A711" s="7" t="s">
        <v>119</v>
      </c>
      <c r="B711">
        <v>71717</v>
      </c>
      <c r="C711">
        <v>10</v>
      </c>
      <c r="D711">
        <v>1</v>
      </c>
      <c r="E711" t="s">
        <v>131</v>
      </c>
      <c r="F711">
        <v>64</v>
      </c>
    </row>
    <row r="712" spans="1:6" x14ac:dyDescent="0.2">
      <c r="A712" s="7" t="s">
        <v>119</v>
      </c>
      <c r="B712">
        <v>71717</v>
      </c>
      <c r="C712">
        <v>11</v>
      </c>
      <c r="D712">
        <v>1</v>
      </c>
      <c r="E712" t="s">
        <v>131</v>
      </c>
      <c r="F712" t="s">
        <v>115</v>
      </c>
    </row>
    <row r="713" spans="1:6" x14ac:dyDescent="0.2">
      <c r="A713" s="7" t="s">
        <v>119</v>
      </c>
      <c r="B713">
        <v>71717</v>
      </c>
      <c r="C713">
        <v>12</v>
      </c>
      <c r="D713">
        <v>1</v>
      </c>
      <c r="E713" t="s">
        <v>131</v>
      </c>
      <c r="F713">
        <v>90</v>
      </c>
    </row>
    <row r="714" spans="1:6" x14ac:dyDescent="0.2">
      <c r="A714" s="7" t="s">
        <v>119</v>
      </c>
      <c r="B714">
        <v>71717</v>
      </c>
      <c r="C714">
        <v>13</v>
      </c>
      <c r="D714">
        <v>1</v>
      </c>
      <c r="E714" t="s">
        <v>131</v>
      </c>
      <c r="F714" t="s">
        <v>115</v>
      </c>
    </row>
    <row r="715" spans="1:6" x14ac:dyDescent="0.2">
      <c r="A715" s="7" t="s">
        <v>119</v>
      </c>
      <c r="B715">
        <v>71717</v>
      </c>
      <c r="C715">
        <v>14</v>
      </c>
      <c r="D715">
        <v>1</v>
      </c>
      <c r="E715" t="s">
        <v>131</v>
      </c>
      <c r="F715">
        <v>45</v>
      </c>
    </row>
    <row r="716" spans="1:6" x14ac:dyDescent="0.2">
      <c r="A716" s="7" t="s">
        <v>119</v>
      </c>
      <c r="B716">
        <v>71717</v>
      </c>
      <c r="C716">
        <v>15</v>
      </c>
      <c r="D716">
        <v>1</v>
      </c>
      <c r="E716" t="s">
        <v>131</v>
      </c>
      <c r="F716">
        <v>90</v>
      </c>
    </row>
    <row r="717" spans="1:6" x14ac:dyDescent="0.2">
      <c r="A717" s="7" t="s">
        <v>119</v>
      </c>
      <c r="B717">
        <v>71717</v>
      </c>
      <c r="C717">
        <v>16</v>
      </c>
      <c r="D717">
        <v>1</v>
      </c>
      <c r="E717" t="s">
        <v>131</v>
      </c>
      <c r="F717">
        <v>45</v>
      </c>
    </row>
    <row r="718" spans="1:6" x14ac:dyDescent="0.2">
      <c r="A718" s="7" t="s">
        <v>119</v>
      </c>
      <c r="B718">
        <v>71717</v>
      </c>
      <c r="C718">
        <v>17</v>
      </c>
      <c r="D718">
        <v>1</v>
      </c>
      <c r="E718" t="s">
        <v>131</v>
      </c>
      <c r="F718">
        <v>22.6</v>
      </c>
    </row>
    <row r="719" spans="1:6" x14ac:dyDescent="0.2">
      <c r="A719" s="7" t="s">
        <v>119</v>
      </c>
      <c r="B719">
        <v>71717</v>
      </c>
      <c r="C719">
        <v>18</v>
      </c>
      <c r="D719">
        <v>1</v>
      </c>
      <c r="E719" t="s">
        <v>131</v>
      </c>
      <c r="F719" t="s">
        <v>115</v>
      </c>
    </row>
    <row r="720" spans="1:6" x14ac:dyDescent="0.2">
      <c r="A720" s="7" t="s">
        <v>119</v>
      </c>
      <c r="B720">
        <v>71717</v>
      </c>
      <c r="C720">
        <v>19</v>
      </c>
      <c r="D720">
        <v>1</v>
      </c>
      <c r="E720" t="s">
        <v>131</v>
      </c>
      <c r="F720" t="s">
        <v>115</v>
      </c>
    </row>
    <row r="721" spans="1:6" x14ac:dyDescent="0.2">
      <c r="A721" s="7" t="s">
        <v>119</v>
      </c>
      <c r="B721">
        <v>71717</v>
      </c>
      <c r="C721">
        <v>20</v>
      </c>
      <c r="D721">
        <v>1</v>
      </c>
      <c r="E721" t="s">
        <v>131</v>
      </c>
      <c r="F721" t="s">
        <v>115</v>
      </c>
    </row>
    <row r="722" spans="1:6" x14ac:dyDescent="0.2">
      <c r="A722" s="7" t="s">
        <v>119</v>
      </c>
      <c r="B722">
        <v>71717</v>
      </c>
      <c r="C722">
        <v>21</v>
      </c>
      <c r="D722">
        <v>1</v>
      </c>
      <c r="E722" t="s">
        <v>131</v>
      </c>
      <c r="F722" t="s">
        <v>115</v>
      </c>
    </row>
    <row r="723" spans="1:6" x14ac:dyDescent="0.2">
      <c r="A723" s="7" t="s">
        <v>119</v>
      </c>
      <c r="B723">
        <v>71717</v>
      </c>
      <c r="C723">
        <v>22</v>
      </c>
      <c r="D723">
        <v>1</v>
      </c>
      <c r="E723" t="s">
        <v>131</v>
      </c>
      <c r="F723" t="s">
        <v>115</v>
      </c>
    </row>
    <row r="724" spans="1:6" x14ac:dyDescent="0.2">
      <c r="A724" s="7" t="s">
        <v>119</v>
      </c>
      <c r="B724">
        <v>71717</v>
      </c>
      <c r="C724">
        <v>23</v>
      </c>
      <c r="D724">
        <v>1</v>
      </c>
      <c r="E724" t="s">
        <v>131</v>
      </c>
      <c r="F724" t="s">
        <v>115</v>
      </c>
    </row>
    <row r="725" spans="1:6" x14ac:dyDescent="0.2">
      <c r="A725" s="7" t="s">
        <v>119</v>
      </c>
      <c r="B725">
        <v>71717</v>
      </c>
      <c r="C725">
        <v>24</v>
      </c>
      <c r="D725">
        <v>1</v>
      </c>
      <c r="E725" t="s">
        <v>131</v>
      </c>
      <c r="F725" t="s">
        <v>115</v>
      </c>
    </row>
    <row r="726" spans="1:6" x14ac:dyDescent="0.2">
      <c r="A726" s="7" t="s">
        <v>119</v>
      </c>
      <c r="B726">
        <v>71717</v>
      </c>
      <c r="C726">
        <v>25</v>
      </c>
      <c r="D726">
        <v>1</v>
      </c>
      <c r="E726" t="s">
        <v>131</v>
      </c>
      <c r="F726" t="s">
        <v>115</v>
      </c>
    </row>
    <row r="727" spans="1:6" x14ac:dyDescent="0.2">
      <c r="A727" s="7" t="s">
        <v>119</v>
      </c>
      <c r="B727">
        <v>71717</v>
      </c>
      <c r="C727">
        <v>26</v>
      </c>
      <c r="D727">
        <v>1</v>
      </c>
      <c r="E727" t="s">
        <v>131</v>
      </c>
      <c r="F727">
        <v>22.6</v>
      </c>
    </row>
    <row r="728" spans="1:6" x14ac:dyDescent="0.2">
      <c r="A728" s="7" t="s">
        <v>119</v>
      </c>
      <c r="B728">
        <v>71717</v>
      </c>
      <c r="C728">
        <v>27</v>
      </c>
      <c r="D728">
        <v>1</v>
      </c>
      <c r="E728" t="s">
        <v>131</v>
      </c>
      <c r="F728" t="s">
        <v>115</v>
      </c>
    </row>
    <row r="729" spans="1:6" x14ac:dyDescent="0.2">
      <c r="A729" s="7" t="s">
        <v>119</v>
      </c>
      <c r="B729">
        <v>71717</v>
      </c>
      <c r="C729">
        <v>28</v>
      </c>
      <c r="D729">
        <v>1</v>
      </c>
      <c r="E729" t="s">
        <v>131</v>
      </c>
      <c r="F729" t="s">
        <v>115</v>
      </c>
    </row>
    <row r="730" spans="1:6" x14ac:dyDescent="0.2">
      <c r="A730" s="7" t="s">
        <v>119</v>
      </c>
      <c r="B730">
        <v>71717</v>
      </c>
      <c r="C730">
        <v>29</v>
      </c>
      <c r="D730">
        <v>1</v>
      </c>
      <c r="E730" t="s">
        <v>131</v>
      </c>
      <c r="F730">
        <v>90</v>
      </c>
    </row>
    <row r="731" spans="1:6" x14ac:dyDescent="0.2">
      <c r="A731" s="7" t="s">
        <v>119</v>
      </c>
      <c r="B731">
        <v>71717</v>
      </c>
      <c r="C731">
        <v>30</v>
      </c>
      <c r="D731">
        <v>1</v>
      </c>
      <c r="E731" t="s">
        <v>131</v>
      </c>
      <c r="F731" t="s">
        <v>115</v>
      </c>
    </row>
    <row r="732" spans="1:6" x14ac:dyDescent="0.2">
      <c r="A732" s="7" t="s">
        <v>119</v>
      </c>
      <c r="B732">
        <v>71717</v>
      </c>
      <c r="C732">
        <v>31</v>
      </c>
      <c r="D732">
        <v>1</v>
      </c>
      <c r="E732" t="s">
        <v>131</v>
      </c>
      <c r="F732" t="s">
        <v>115</v>
      </c>
    </row>
    <row r="733" spans="1:6" x14ac:dyDescent="0.2">
      <c r="A733" s="7" t="s">
        <v>119</v>
      </c>
      <c r="B733">
        <v>71717</v>
      </c>
      <c r="C733">
        <v>32</v>
      </c>
      <c r="D733">
        <v>1</v>
      </c>
      <c r="E733" t="s">
        <v>131</v>
      </c>
      <c r="F733" t="s">
        <v>115</v>
      </c>
    </row>
    <row r="734" spans="1:6" x14ac:dyDescent="0.2">
      <c r="A734" s="7" t="s">
        <v>119</v>
      </c>
      <c r="B734">
        <v>71717</v>
      </c>
      <c r="C734">
        <v>33</v>
      </c>
      <c r="D734">
        <v>1</v>
      </c>
      <c r="E734" t="s">
        <v>131</v>
      </c>
      <c r="F734">
        <v>2</v>
      </c>
    </row>
    <row r="735" spans="1:6" x14ac:dyDescent="0.2">
      <c r="A735" s="7" t="s">
        <v>119</v>
      </c>
      <c r="B735">
        <v>71717</v>
      </c>
      <c r="C735">
        <v>34</v>
      </c>
      <c r="D735">
        <v>1</v>
      </c>
      <c r="E735" t="s">
        <v>131</v>
      </c>
      <c r="F735">
        <v>30</v>
      </c>
    </row>
    <row r="736" spans="1:6" x14ac:dyDescent="0.2">
      <c r="A736" s="7" t="s">
        <v>119</v>
      </c>
      <c r="B736">
        <v>71717</v>
      </c>
      <c r="C736">
        <v>35</v>
      </c>
      <c r="D736">
        <v>1</v>
      </c>
      <c r="E736" t="s">
        <v>131</v>
      </c>
      <c r="F736">
        <v>64</v>
      </c>
    </row>
    <row r="737" spans="1:6" x14ac:dyDescent="0.2">
      <c r="A737" s="7" t="s">
        <v>119</v>
      </c>
      <c r="B737">
        <v>71717</v>
      </c>
      <c r="C737">
        <v>36</v>
      </c>
      <c r="D737">
        <v>1</v>
      </c>
      <c r="E737" t="s">
        <v>131</v>
      </c>
      <c r="F737">
        <v>64</v>
      </c>
    </row>
    <row r="738" spans="1:6" x14ac:dyDescent="0.2">
      <c r="A738" s="7" t="s">
        <v>119</v>
      </c>
      <c r="B738">
        <v>71717</v>
      </c>
      <c r="C738">
        <v>37</v>
      </c>
      <c r="D738">
        <v>1</v>
      </c>
      <c r="E738" t="s">
        <v>131</v>
      </c>
      <c r="F738" t="s">
        <v>115</v>
      </c>
    </row>
    <row r="739" spans="1:6" x14ac:dyDescent="0.2">
      <c r="A739" s="7" t="s">
        <v>119</v>
      </c>
      <c r="B739">
        <v>71717</v>
      </c>
      <c r="C739">
        <v>38</v>
      </c>
      <c r="D739">
        <v>1</v>
      </c>
      <c r="E739" t="s">
        <v>131</v>
      </c>
      <c r="F739" t="s">
        <v>115</v>
      </c>
    </row>
    <row r="740" spans="1:6" x14ac:dyDescent="0.2">
      <c r="A740" s="7" t="s">
        <v>119</v>
      </c>
      <c r="B740">
        <v>71717</v>
      </c>
      <c r="C740">
        <v>39</v>
      </c>
      <c r="D740">
        <v>1</v>
      </c>
      <c r="E740" t="s">
        <v>131</v>
      </c>
      <c r="F740" t="s">
        <v>115</v>
      </c>
    </row>
    <row r="741" spans="1:6" x14ac:dyDescent="0.2">
      <c r="A741" s="7" t="s">
        <v>119</v>
      </c>
      <c r="B741">
        <v>71717</v>
      </c>
      <c r="C741">
        <v>40</v>
      </c>
      <c r="D741">
        <v>1</v>
      </c>
      <c r="E741" t="s">
        <v>131</v>
      </c>
      <c r="F741" t="s">
        <v>115</v>
      </c>
    </row>
    <row r="742" spans="1:6" x14ac:dyDescent="0.2">
      <c r="A742" s="7" t="s">
        <v>119</v>
      </c>
      <c r="B742">
        <v>71717</v>
      </c>
      <c r="C742">
        <v>41</v>
      </c>
      <c r="D742">
        <v>1</v>
      </c>
      <c r="E742" t="s">
        <v>131</v>
      </c>
      <c r="F742" t="s">
        <v>115</v>
      </c>
    </row>
    <row r="743" spans="1:6" x14ac:dyDescent="0.2">
      <c r="A743" s="7" t="s">
        <v>119</v>
      </c>
      <c r="B743">
        <v>71717</v>
      </c>
      <c r="C743">
        <v>42</v>
      </c>
      <c r="D743">
        <v>1</v>
      </c>
      <c r="E743" t="s">
        <v>131</v>
      </c>
      <c r="F743" t="s">
        <v>115</v>
      </c>
    </row>
    <row r="744" spans="1:6" x14ac:dyDescent="0.2">
      <c r="A744" s="7" t="s">
        <v>119</v>
      </c>
      <c r="B744">
        <v>71717</v>
      </c>
      <c r="C744">
        <v>43</v>
      </c>
      <c r="D744">
        <v>1</v>
      </c>
      <c r="E744" t="s">
        <v>124</v>
      </c>
      <c r="F744" t="s">
        <v>115</v>
      </c>
    </row>
    <row r="745" spans="1:6" x14ac:dyDescent="0.2">
      <c r="A745" s="7" t="s">
        <v>119</v>
      </c>
      <c r="B745">
        <v>71717</v>
      </c>
      <c r="C745">
        <v>44</v>
      </c>
      <c r="D745">
        <v>1</v>
      </c>
      <c r="E745" t="s">
        <v>124</v>
      </c>
      <c r="F745">
        <v>32</v>
      </c>
    </row>
    <row r="746" spans="1:6" x14ac:dyDescent="0.2">
      <c r="A746" s="7" t="s">
        <v>119</v>
      </c>
      <c r="B746">
        <v>71717</v>
      </c>
      <c r="C746">
        <v>45</v>
      </c>
      <c r="D746">
        <v>1</v>
      </c>
      <c r="E746" t="s">
        <v>125</v>
      </c>
      <c r="F746">
        <v>22.6</v>
      </c>
    </row>
    <row r="747" spans="1:6" x14ac:dyDescent="0.2">
      <c r="A747" s="7" t="s">
        <v>119</v>
      </c>
      <c r="B747">
        <v>71717</v>
      </c>
      <c r="C747">
        <v>46</v>
      </c>
      <c r="D747">
        <v>1</v>
      </c>
      <c r="E747" t="s">
        <v>125</v>
      </c>
      <c r="F747">
        <v>16</v>
      </c>
    </row>
    <row r="748" spans="1:6" x14ac:dyDescent="0.2">
      <c r="A748" s="7" t="s">
        <v>119</v>
      </c>
      <c r="B748">
        <v>71717</v>
      </c>
      <c r="C748">
        <v>47</v>
      </c>
      <c r="D748">
        <v>1</v>
      </c>
      <c r="E748" t="s">
        <v>126</v>
      </c>
      <c r="F748" t="s">
        <v>115</v>
      </c>
    </row>
    <row r="749" spans="1:6" x14ac:dyDescent="0.2">
      <c r="A749" s="7" t="s">
        <v>119</v>
      </c>
      <c r="B749">
        <v>71717</v>
      </c>
      <c r="C749">
        <v>48</v>
      </c>
      <c r="D749">
        <v>1</v>
      </c>
      <c r="E749" t="s">
        <v>126</v>
      </c>
      <c r="F749">
        <v>64</v>
      </c>
    </row>
    <row r="750" spans="1:6" x14ac:dyDescent="0.2">
      <c r="A750" s="7" t="s">
        <v>119</v>
      </c>
      <c r="B750">
        <v>71717</v>
      </c>
      <c r="C750">
        <v>49</v>
      </c>
      <c r="D750">
        <v>1</v>
      </c>
      <c r="E750" t="s">
        <v>112</v>
      </c>
      <c r="F750">
        <v>45</v>
      </c>
    </row>
    <row r="751" spans="1:6" x14ac:dyDescent="0.2">
      <c r="A751" s="7" t="s">
        <v>119</v>
      </c>
      <c r="B751">
        <v>71717</v>
      </c>
      <c r="C751">
        <v>50</v>
      </c>
      <c r="D751">
        <v>1</v>
      </c>
      <c r="E751" t="s">
        <v>112</v>
      </c>
      <c r="F751">
        <v>4</v>
      </c>
    </row>
    <row r="752" spans="1:6" x14ac:dyDescent="0.2">
      <c r="A752" s="7" t="s">
        <v>119</v>
      </c>
      <c r="B752">
        <v>71717</v>
      </c>
      <c r="C752">
        <v>51</v>
      </c>
      <c r="D752">
        <v>1</v>
      </c>
      <c r="E752" t="s">
        <v>112</v>
      </c>
      <c r="F752">
        <v>90</v>
      </c>
    </row>
    <row r="753" spans="1:6" x14ac:dyDescent="0.2">
      <c r="A753" s="7" t="s">
        <v>119</v>
      </c>
      <c r="B753">
        <v>71717</v>
      </c>
      <c r="C753">
        <v>52</v>
      </c>
      <c r="D753">
        <v>1</v>
      </c>
      <c r="E753" t="s">
        <v>112</v>
      </c>
      <c r="F753">
        <v>128</v>
      </c>
    </row>
    <row r="754" spans="1:6" x14ac:dyDescent="0.2">
      <c r="A754" s="7" t="s">
        <v>119</v>
      </c>
      <c r="B754">
        <v>71717</v>
      </c>
      <c r="C754">
        <v>53</v>
      </c>
      <c r="D754">
        <v>1</v>
      </c>
      <c r="E754" t="s">
        <v>112</v>
      </c>
      <c r="F754">
        <v>45</v>
      </c>
    </row>
    <row r="755" spans="1:6" x14ac:dyDescent="0.2">
      <c r="A755" s="7" t="s">
        <v>119</v>
      </c>
      <c r="B755">
        <v>71717</v>
      </c>
      <c r="C755">
        <v>54</v>
      </c>
      <c r="D755">
        <v>1</v>
      </c>
      <c r="E755" t="s">
        <v>112</v>
      </c>
      <c r="F755">
        <v>45</v>
      </c>
    </row>
    <row r="756" spans="1:6" x14ac:dyDescent="0.2">
      <c r="A756" s="7" t="s">
        <v>119</v>
      </c>
      <c r="B756">
        <v>71717</v>
      </c>
      <c r="C756">
        <v>55</v>
      </c>
      <c r="D756">
        <v>1</v>
      </c>
      <c r="E756" t="s">
        <v>112</v>
      </c>
      <c r="F756">
        <v>32</v>
      </c>
    </row>
    <row r="757" spans="1:6" x14ac:dyDescent="0.2">
      <c r="A757" s="7" t="s">
        <v>119</v>
      </c>
      <c r="B757">
        <v>71717</v>
      </c>
      <c r="C757">
        <v>56</v>
      </c>
      <c r="D757">
        <v>1</v>
      </c>
      <c r="E757" t="s">
        <v>112</v>
      </c>
      <c r="F757">
        <v>16</v>
      </c>
    </row>
    <row r="758" spans="1:6" x14ac:dyDescent="0.2">
      <c r="A758" s="7" t="s">
        <v>119</v>
      </c>
      <c r="B758">
        <v>71717</v>
      </c>
      <c r="C758">
        <v>57</v>
      </c>
      <c r="D758">
        <v>1</v>
      </c>
      <c r="E758" t="s">
        <v>112</v>
      </c>
      <c r="F758">
        <v>90</v>
      </c>
    </row>
    <row r="759" spans="1:6" x14ac:dyDescent="0.2">
      <c r="A759" s="7" t="s">
        <v>119</v>
      </c>
      <c r="B759">
        <v>71717</v>
      </c>
      <c r="C759">
        <v>58</v>
      </c>
      <c r="D759">
        <v>1</v>
      </c>
      <c r="E759" t="s">
        <v>112</v>
      </c>
      <c r="F759">
        <v>90</v>
      </c>
    </row>
    <row r="760" spans="1:6" x14ac:dyDescent="0.2">
      <c r="A760" s="7" t="s">
        <v>119</v>
      </c>
      <c r="B760">
        <v>71717</v>
      </c>
      <c r="C760">
        <v>59</v>
      </c>
      <c r="D760">
        <v>1</v>
      </c>
      <c r="E760" t="s">
        <v>112</v>
      </c>
      <c r="F760">
        <v>64</v>
      </c>
    </row>
    <row r="761" spans="1:6" x14ac:dyDescent="0.2">
      <c r="A761" s="7" t="s">
        <v>119</v>
      </c>
      <c r="B761">
        <v>71717</v>
      </c>
      <c r="C761">
        <v>60</v>
      </c>
      <c r="D761">
        <v>1</v>
      </c>
      <c r="E761" t="s">
        <v>112</v>
      </c>
      <c r="F761">
        <v>180</v>
      </c>
    </row>
    <row r="762" spans="1:6" x14ac:dyDescent="0.2">
      <c r="A762" s="7" t="s">
        <v>119</v>
      </c>
      <c r="B762">
        <v>71717</v>
      </c>
      <c r="C762">
        <v>61</v>
      </c>
      <c r="D762">
        <v>1</v>
      </c>
      <c r="E762" t="s">
        <v>112</v>
      </c>
      <c r="F762">
        <v>45</v>
      </c>
    </row>
    <row r="763" spans="1:6" x14ac:dyDescent="0.2">
      <c r="A763" s="7" t="s">
        <v>119</v>
      </c>
      <c r="B763">
        <v>71717</v>
      </c>
      <c r="C763">
        <v>62</v>
      </c>
      <c r="D763">
        <v>1</v>
      </c>
      <c r="E763" t="s">
        <v>112</v>
      </c>
      <c r="F763">
        <v>64</v>
      </c>
    </row>
    <row r="764" spans="1:6" x14ac:dyDescent="0.2">
      <c r="A764" s="7" t="s">
        <v>119</v>
      </c>
      <c r="B764">
        <v>71717</v>
      </c>
      <c r="C764">
        <v>63</v>
      </c>
      <c r="D764">
        <v>1</v>
      </c>
      <c r="E764" t="s">
        <v>112</v>
      </c>
      <c r="F764">
        <v>45</v>
      </c>
    </row>
    <row r="765" spans="1:6" x14ac:dyDescent="0.2">
      <c r="A765" s="7" t="s">
        <v>119</v>
      </c>
      <c r="B765">
        <v>71717</v>
      </c>
      <c r="C765">
        <v>64</v>
      </c>
      <c r="D765">
        <v>1</v>
      </c>
      <c r="E765" t="s">
        <v>112</v>
      </c>
      <c r="F765">
        <v>45</v>
      </c>
    </row>
    <row r="766" spans="1:6" x14ac:dyDescent="0.2">
      <c r="A766" s="7" t="s">
        <v>119</v>
      </c>
      <c r="B766">
        <v>71717</v>
      </c>
      <c r="C766">
        <v>65</v>
      </c>
      <c r="D766">
        <v>1</v>
      </c>
      <c r="E766" t="s">
        <v>113</v>
      </c>
      <c r="F766">
        <v>22.6</v>
      </c>
    </row>
    <row r="767" spans="1:6" x14ac:dyDescent="0.2">
      <c r="A767" s="7" t="s">
        <v>119</v>
      </c>
      <c r="B767">
        <v>71717</v>
      </c>
      <c r="C767">
        <v>66</v>
      </c>
      <c r="D767">
        <v>1</v>
      </c>
      <c r="E767" t="s">
        <v>113</v>
      </c>
      <c r="F767">
        <v>45</v>
      </c>
    </row>
    <row r="768" spans="1:6" x14ac:dyDescent="0.2">
      <c r="A768" s="7" t="s">
        <v>119</v>
      </c>
      <c r="B768">
        <v>71717</v>
      </c>
      <c r="C768">
        <v>67</v>
      </c>
      <c r="D768">
        <v>2</v>
      </c>
      <c r="E768" t="s">
        <v>126</v>
      </c>
      <c r="F768">
        <v>11</v>
      </c>
    </row>
    <row r="769" spans="1:7" x14ac:dyDescent="0.2">
      <c r="A769" s="7" t="s">
        <v>119</v>
      </c>
      <c r="B769">
        <v>71717</v>
      </c>
      <c r="C769">
        <v>68</v>
      </c>
      <c r="D769">
        <v>2</v>
      </c>
      <c r="E769" t="s">
        <v>113</v>
      </c>
      <c r="F769">
        <v>22.6</v>
      </c>
    </row>
    <row r="770" spans="1:7" x14ac:dyDescent="0.2">
      <c r="A770" s="7" t="s">
        <v>119</v>
      </c>
      <c r="B770">
        <v>71717</v>
      </c>
      <c r="C770">
        <v>69</v>
      </c>
      <c r="D770">
        <v>2</v>
      </c>
      <c r="E770" t="s">
        <v>113</v>
      </c>
      <c r="F770">
        <v>226</v>
      </c>
    </row>
    <row r="771" spans="1:7" x14ac:dyDescent="0.2">
      <c r="A771" s="7" t="s">
        <v>119</v>
      </c>
      <c r="B771">
        <v>71717</v>
      </c>
      <c r="C771">
        <v>70</v>
      </c>
      <c r="D771">
        <v>2</v>
      </c>
      <c r="E771" t="s">
        <v>112</v>
      </c>
      <c r="F771">
        <v>90</v>
      </c>
    </row>
    <row r="772" spans="1:7" x14ac:dyDescent="0.2">
      <c r="A772" s="7" t="s">
        <v>119</v>
      </c>
      <c r="B772">
        <v>71717</v>
      </c>
      <c r="C772">
        <v>71</v>
      </c>
      <c r="D772">
        <v>2</v>
      </c>
      <c r="E772" t="s">
        <v>112</v>
      </c>
      <c r="F772">
        <v>64</v>
      </c>
    </row>
    <row r="773" spans="1:7" x14ac:dyDescent="0.2">
      <c r="A773" s="7" t="s">
        <v>119</v>
      </c>
      <c r="B773">
        <v>71717</v>
      </c>
      <c r="C773">
        <v>72</v>
      </c>
      <c r="D773">
        <v>2</v>
      </c>
      <c r="E773" t="s">
        <v>112</v>
      </c>
      <c r="F773">
        <v>32</v>
      </c>
    </row>
    <row r="774" spans="1:7" x14ac:dyDescent="0.2">
      <c r="A774" s="7" t="s">
        <v>119</v>
      </c>
      <c r="B774">
        <v>71717</v>
      </c>
      <c r="C774">
        <v>73</v>
      </c>
      <c r="D774">
        <v>2</v>
      </c>
      <c r="E774" t="s">
        <v>112</v>
      </c>
      <c r="F774">
        <v>64</v>
      </c>
    </row>
    <row r="775" spans="1:7" x14ac:dyDescent="0.2">
      <c r="A775" s="7" t="s">
        <v>119</v>
      </c>
      <c r="B775">
        <v>71717</v>
      </c>
      <c r="C775">
        <v>74</v>
      </c>
      <c r="D775">
        <v>2</v>
      </c>
      <c r="E775" t="s">
        <v>112</v>
      </c>
      <c r="F775">
        <v>64</v>
      </c>
    </row>
    <row r="776" spans="1:7" x14ac:dyDescent="0.2">
      <c r="A776" s="7" t="s">
        <v>119</v>
      </c>
      <c r="B776">
        <v>71717</v>
      </c>
      <c r="C776">
        <v>75</v>
      </c>
      <c r="D776">
        <v>2</v>
      </c>
      <c r="E776" t="s">
        <v>112</v>
      </c>
      <c r="F776">
        <v>32</v>
      </c>
      <c r="G776" t="s">
        <v>128</v>
      </c>
    </row>
    <row r="777" spans="1:7" x14ac:dyDescent="0.2">
      <c r="A777" s="7" t="s">
        <v>119</v>
      </c>
      <c r="B777">
        <v>71717</v>
      </c>
      <c r="C777">
        <v>76</v>
      </c>
      <c r="D777">
        <v>2</v>
      </c>
      <c r="E777" t="s">
        <v>112</v>
      </c>
      <c r="F777">
        <v>90</v>
      </c>
    </row>
    <row r="778" spans="1:7" x14ac:dyDescent="0.2">
      <c r="A778" s="7" t="s">
        <v>119</v>
      </c>
      <c r="B778">
        <v>71717</v>
      </c>
      <c r="C778">
        <v>77</v>
      </c>
      <c r="D778">
        <v>2</v>
      </c>
      <c r="E778" t="s">
        <v>112</v>
      </c>
      <c r="F778">
        <v>32</v>
      </c>
    </row>
    <row r="779" spans="1:7" x14ac:dyDescent="0.2">
      <c r="A779" s="7" t="s">
        <v>119</v>
      </c>
      <c r="B779">
        <v>71717</v>
      </c>
      <c r="C779">
        <v>78</v>
      </c>
      <c r="D779">
        <v>2</v>
      </c>
      <c r="E779" t="s">
        <v>111</v>
      </c>
      <c r="F779">
        <v>11</v>
      </c>
    </row>
    <row r="780" spans="1:7" x14ac:dyDescent="0.2">
      <c r="A780" s="7" t="s">
        <v>119</v>
      </c>
      <c r="B780">
        <v>71717</v>
      </c>
      <c r="C780">
        <v>79</v>
      </c>
      <c r="D780">
        <v>2</v>
      </c>
      <c r="E780" t="s">
        <v>129</v>
      </c>
      <c r="F780">
        <v>32</v>
      </c>
    </row>
    <row r="781" spans="1:7" x14ac:dyDescent="0.2">
      <c r="A781" s="7" t="s">
        <v>119</v>
      </c>
      <c r="B781">
        <v>71717</v>
      </c>
      <c r="C781">
        <v>80</v>
      </c>
      <c r="D781">
        <v>2</v>
      </c>
      <c r="E781" t="s">
        <v>125</v>
      </c>
      <c r="F781">
        <v>45</v>
      </c>
    </row>
    <row r="782" spans="1:7" x14ac:dyDescent="0.2">
      <c r="A782" s="7" t="s">
        <v>119</v>
      </c>
      <c r="B782">
        <v>71717</v>
      </c>
      <c r="C782">
        <v>81</v>
      </c>
      <c r="D782">
        <v>2</v>
      </c>
      <c r="E782" t="s">
        <v>112</v>
      </c>
      <c r="F782">
        <v>32</v>
      </c>
    </row>
    <row r="783" spans="1:7" x14ac:dyDescent="0.2">
      <c r="A783" s="7" t="s">
        <v>119</v>
      </c>
      <c r="B783">
        <v>71717</v>
      </c>
      <c r="C783">
        <v>82</v>
      </c>
      <c r="D783">
        <v>2</v>
      </c>
      <c r="E783" t="s">
        <v>112</v>
      </c>
      <c r="F783">
        <v>32</v>
      </c>
    </row>
    <row r="784" spans="1:7" x14ac:dyDescent="0.2">
      <c r="A784" s="7" t="s">
        <v>119</v>
      </c>
      <c r="B784">
        <v>71717</v>
      </c>
      <c r="C784">
        <v>83</v>
      </c>
      <c r="D784">
        <v>2</v>
      </c>
      <c r="E784" t="s">
        <v>112</v>
      </c>
      <c r="F784">
        <v>90</v>
      </c>
    </row>
    <row r="785" spans="1:6" x14ac:dyDescent="0.2">
      <c r="A785" s="7" t="s">
        <v>119</v>
      </c>
      <c r="B785">
        <v>71717</v>
      </c>
      <c r="C785">
        <v>84</v>
      </c>
      <c r="D785">
        <v>2</v>
      </c>
      <c r="E785" t="s">
        <v>112</v>
      </c>
      <c r="F785">
        <v>64</v>
      </c>
    </row>
    <row r="786" spans="1:6" x14ac:dyDescent="0.2">
      <c r="A786" s="7" t="s">
        <v>119</v>
      </c>
      <c r="B786">
        <v>71717</v>
      </c>
      <c r="C786">
        <v>85</v>
      </c>
      <c r="D786">
        <v>2</v>
      </c>
      <c r="E786" t="s">
        <v>111</v>
      </c>
      <c r="F786">
        <v>32</v>
      </c>
    </row>
    <row r="787" spans="1:6" x14ac:dyDescent="0.2">
      <c r="A787" s="7" t="s">
        <v>119</v>
      </c>
      <c r="B787">
        <v>71717</v>
      </c>
      <c r="C787">
        <v>86</v>
      </c>
      <c r="D787">
        <v>2</v>
      </c>
      <c r="E787" t="s">
        <v>131</v>
      </c>
      <c r="F787">
        <v>45</v>
      </c>
    </row>
    <row r="788" spans="1:6" x14ac:dyDescent="0.2">
      <c r="A788" s="7" t="s">
        <v>119</v>
      </c>
      <c r="B788">
        <v>71717</v>
      </c>
      <c r="C788">
        <v>87</v>
      </c>
      <c r="D788">
        <v>2</v>
      </c>
      <c r="E788" t="s">
        <v>131</v>
      </c>
      <c r="F788" t="s">
        <v>115</v>
      </c>
    </row>
    <row r="789" spans="1:6" x14ac:dyDescent="0.2">
      <c r="A789" s="7" t="s">
        <v>119</v>
      </c>
      <c r="B789">
        <v>71717</v>
      </c>
      <c r="C789">
        <v>88</v>
      </c>
      <c r="D789">
        <v>2</v>
      </c>
      <c r="E789" t="s">
        <v>131</v>
      </c>
      <c r="F789" t="s">
        <v>115</v>
      </c>
    </row>
    <row r="790" spans="1:6" x14ac:dyDescent="0.2">
      <c r="A790" s="7" t="s">
        <v>119</v>
      </c>
      <c r="B790">
        <v>71717</v>
      </c>
      <c r="C790">
        <v>89</v>
      </c>
      <c r="D790">
        <v>2</v>
      </c>
      <c r="E790" t="s">
        <v>131</v>
      </c>
      <c r="F790">
        <v>64</v>
      </c>
    </row>
    <row r="791" spans="1:6" x14ac:dyDescent="0.2">
      <c r="A791" s="7" t="s">
        <v>119</v>
      </c>
      <c r="B791">
        <v>71717</v>
      </c>
      <c r="C791">
        <v>90</v>
      </c>
      <c r="D791">
        <v>2</v>
      </c>
      <c r="E791" t="s">
        <v>131</v>
      </c>
      <c r="F791">
        <v>90</v>
      </c>
    </row>
    <row r="792" spans="1:6" x14ac:dyDescent="0.2">
      <c r="A792" s="7" t="s">
        <v>119</v>
      </c>
      <c r="B792">
        <v>71717</v>
      </c>
      <c r="C792">
        <v>91</v>
      </c>
      <c r="D792">
        <v>2</v>
      </c>
      <c r="E792" t="s">
        <v>131</v>
      </c>
      <c r="F792">
        <v>22.6</v>
      </c>
    </row>
    <row r="793" spans="1:6" x14ac:dyDescent="0.2">
      <c r="A793" s="7" t="s">
        <v>119</v>
      </c>
      <c r="B793">
        <v>71717</v>
      </c>
      <c r="C793">
        <v>92</v>
      </c>
      <c r="D793">
        <v>2</v>
      </c>
      <c r="E793" t="s">
        <v>131</v>
      </c>
      <c r="F793">
        <v>128</v>
      </c>
    </row>
    <row r="794" spans="1:6" x14ac:dyDescent="0.2">
      <c r="A794" s="7" t="s">
        <v>119</v>
      </c>
      <c r="B794">
        <v>71717</v>
      </c>
      <c r="C794">
        <v>93</v>
      </c>
      <c r="D794">
        <v>2</v>
      </c>
      <c r="E794" t="s">
        <v>131</v>
      </c>
      <c r="F794" t="s">
        <v>115</v>
      </c>
    </row>
    <row r="795" spans="1:6" x14ac:dyDescent="0.2">
      <c r="A795" s="7" t="s">
        <v>119</v>
      </c>
      <c r="B795">
        <v>71717</v>
      </c>
      <c r="C795">
        <v>94</v>
      </c>
      <c r="D795">
        <v>2</v>
      </c>
      <c r="E795" t="s">
        <v>131</v>
      </c>
      <c r="F795" t="s">
        <v>115</v>
      </c>
    </row>
    <row r="796" spans="1:6" x14ac:dyDescent="0.2">
      <c r="A796" s="7" t="s">
        <v>119</v>
      </c>
      <c r="B796">
        <v>71717</v>
      </c>
      <c r="C796">
        <v>95</v>
      </c>
      <c r="D796">
        <v>2</v>
      </c>
      <c r="E796" t="s">
        <v>131</v>
      </c>
      <c r="F796" t="s">
        <v>115</v>
      </c>
    </row>
    <row r="797" spans="1:6" x14ac:dyDescent="0.2">
      <c r="A797" s="7" t="s">
        <v>119</v>
      </c>
      <c r="B797">
        <v>71717</v>
      </c>
      <c r="C797">
        <v>96</v>
      </c>
      <c r="D797">
        <v>2</v>
      </c>
      <c r="E797" t="s">
        <v>131</v>
      </c>
      <c r="F797" t="s">
        <v>115</v>
      </c>
    </row>
    <row r="798" spans="1:6" x14ac:dyDescent="0.2">
      <c r="A798" s="7" t="s">
        <v>119</v>
      </c>
      <c r="B798">
        <v>71717</v>
      </c>
      <c r="C798">
        <v>97</v>
      </c>
      <c r="D798">
        <v>2</v>
      </c>
      <c r="E798" t="s">
        <v>131</v>
      </c>
      <c r="F798" t="s">
        <v>115</v>
      </c>
    </row>
    <row r="799" spans="1:6" x14ac:dyDescent="0.2">
      <c r="A799" s="7" t="s">
        <v>119</v>
      </c>
      <c r="B799">
        <v>71717</v>
      </c>
      <c r="C799">
        <v>98</v>
      </c>
      <c r="D799">
        <v>2</v>
      </c>
      <c r="E799" t="s">
        <v>131</v>
      </c>
      <c r="F799">
        <v>32</v>
      </c>
    </row>
    <row r="800" spans="1:6" x14ac:dyDescent="0.2">
      <c r="A800" s="7" t="s">
        <v>119</v>
      </c>
      <c r="B800">
        <v>71717</v>
      </c>
      <c r="C800">
        <v>99</v>
      </c>
      <c r="D800">
        <v>2</v>
      </c>
      <c r="E800" t="s">
        <v>131</v>
      </c>
      <c r="F800" t="s">
        <v>115</v>
      </c>
    </row>
    <row r="801" spans="1:6" x14ac:dyDescent="0.2">
      <c r="A801" s="7" t="s">
        <v>119</v>
      </c>
      <c r="B801">
        <v>71717</v>
      </c>
      <c r="C801">
        <v>100</v>
      </c>
      <c r="D801">
        <v>2</v>
      </c>
      <c r="E801" t="s">
        <v>131</v>
      </c>
      <c r="F801" t="s">
        <v>115</v>
      </c>
    </row>
    <row r="802" spans="1:6" x14ac:dyDescent="0.2">
      <c r="A802" t="s">
        <v>121</v>
      </c>
      <c r="B802">
        <v>71717</v>
      </c>
      <c r="C802">
        <v>1</v>
      </c>
      <c r="D802">
        <v>1</v>
      </c>
      <c r="E802" t="s">
        <v>126</v>
      </c>
      <c r="F802">
        <v>5.6</v>
      </c>
    </row>
    <row r="803" spans="1:6" x14ac:dyDescent="0.2">
      <c r="A803" t="s">
        <v>121</v>
      </c>
      <c r="B803">
        <v>71717</v>
      </c>
      <c r="C803">
        <v>2</v>
      </c>
      <c r="D803">
        <v>1</v>
      </c>
      <c r="E803" t="s">
        <v>112</v>
      </c>
      <c r="F803">
        <v>11</v>
      </c>
    </row>
    <row r="804" spans="1:6" x14ac:dyDescent="0.2">
      <c r="A804" t="s">
        <v>121</v>
      </c>
      <c r="B804">
        <v>71717</v>
      </c>
      <c r="C804">
        <v>3</v>
      </c>
      <c r="D804">
        <v>1</v>
      </c>
      <c r="E804" t="s">
        <v>112</v>
      </c>
      <c r="F804">
        <v>64</v>
      </c>
    </row>
    <row r="805" spans="1:6" x14ac:dyDescent="0.2">
      <c r="A805" t="s">
        <v>121</v>
      </c>
      <c r="B805">
        <v>71717</v>
      </c>
      <c r="C805">
        <v>4</v>
      </c>
      <c r="D805">
        <v>1</v>
      </c>
      <c r="E805" t="s">
        <v>112</v>
      </c>
      <c r="F805">
        <v>90</v>
      </c>
    </row>
    <row r="806" spans="1:6" x14ac:dyDescent="0.2">
      <c r="A806" t="s">
        <v>121</v>
      </c>
      <c r="B806">
        <v>71717</v>
      </c>
      <c r="C806">
        <v>5</v>
      </c>
      <c r="D806">
        <v>1</v>
      </c>
      <c r="E806" t="s">
        <v>112</v>
      </c>
      <c r="F806">
        <v>64</v>
      </c>
    </row>
    <row r="807" spans="1:6" x14ac:dyDescent="0.2">
      <c r="A807" t="s">
        <v>121</v>
      </c>
      <c r="B807">
        <v>71717</v>
      </c>
      <c r="C807">
        <v>6</v>
      </c>
      <c r="D807">
        <v>1</v>
      </c>
      <c r="E807" t="s">
        <v>112</v>
      </c>
      <c r="F807">
        <v>90</v>
      </c>
    </row>
    <row r="808" spans="1:6" x14ac:dyDescent="0.2">
      <c r="A808" t="s">
        <v>121</v>
      </c>
      <c r="B808">
        <v>71717</v>
      </c>
      <c r="C808">
        <v>7</v>
      </c>
      <c r="D808">
        <v>1</v>
      </c>
      <c r="E808" t="s">
        <v>112</v>
      </c>
      <c r="F808">
        <v>128</v>
      </c>
    </row>
    <row r="809" spans="1:6" x14ac:dyDescent="0.2">
      <c r="A809" t="s">
        <v>121</v>
      </c>
      <c r="B809">
        <v>71717</v>
      </c>
      <c r="C809">
        <v>8</v>
      </c>
      <c r="D809">
        <v>1</v>
      </c>
      <c r="E809" t="s">
        <v>112</v>
      </c>
      <c r="F809">
        <v>45</v>
      </c>
    </row>
    <row r="810" spans="1:6" x14ac:dyDescent="0.2">
      <c r="A810" t="s">
        <v>121</v>
      </c>
      <c r="B810">
        <v>71717</v>
      </c>
      <c r="C810">
        <v>9</v>
      </c>
      <c r="D810">
        <v>1</v>
      </c>
      <c r="E810" t="s">
        <v>112</v>
      </c>
      <c r="F810">
        <v>64</v>
      </c>
    </row>
    <row r="811" spans="1:6" x14ac:dyDescent="0.2">
      <c r="A811" t="s">
        <v>121</v>
      </c>
      <c r="B811">
        <v>71717</v>
      </c>
      <c r="C811">
        <v>10</v>
      </c>
      <c r="D811">
        <v>1</v>
      </c>
      <c r="E811" t="s">
        <v>112</v>
      </c>
      <c r="F811">
        <v>90</v>
      </c>
    </row>
    <row r="812" spans="1:6" x14ac:dyDescent="0.2">
      <c r="A812" t="s">
        <v>121</v>
      </c>
      <c r="B812">
        <v>71717</v>
      </c>
      <c r="C812">
        <v>11</v>
      </c>
      <c r="D812">
        <v>1</v>
      </c>
      <c r="E812" t="s">
        <v>112</v>
      </c>
      <c r="F812">
        <v>90</v>
      </c>
    </row>
    <row r="813" spans="1:6" x14ac:dyDescent="0.2">
      <c r="A813" t="s">
        <v>121</v>
      </c>
      <c r="B813">
        <v>71717</v>
      </c>
      <c r="C813">
        <v>12</v>
      </c>
      <c r="D813">
        <v>1</v>
      </c>
      <c r="E813" t="s">
        <v>112</v>
      </c>
      <c r="F813">
        <v>45</v>
      </c>
    </row>
    <row r="814" spans="1:6" x14ac:dyDescent="0.2">
      <c r="A814" t="s">
        <v>121</v>
      </c>
      <c r="B814">
        <v>71717</v>
      </c>
      <c r="C814">
        <v>13</v>
      </c>
      <c r="D814">
        <v>1</v>
      </c>
      <c r="E814" t="s">
        <v>112</v>
      </c>
      <c r="F814">
        <v>90</v>
      </c>
    </row>
    <row r="815" spans="1:6" x14ac:dyDescent="0.2">
      <c r="A815" t="s">
        <v>121</v>
      </c>
      <c r="B815">
        <v>71717</v>
      </c>
      <c r="C815">
        <v>14</v>
      </c>
      <c r="D815">
        <v>1</v>
      </c>
      <c r="E815" t="s">
        <v>112</v>
      </c>
      <c r="F815">
        <v>64</v>
      </c>
    </row>
    <row r="816" spans="1:6" x14ac:dyDescent="0.2">
      <c r="A816" t="s">
        <v>121</v>
      </c>
      <c r="B816">
        <v>71717</v>
      </c>
      <c r="C816">
        <v>15</v>
      </c>
      <c r="D816">
        <v>1</v>
      </c>
      <c r="E816" t="s">
        <v>112</v>
      </c>
      <c r="F816">
        <v>64</v>
      </c>
    </row>
    <row r="817" spans="1:6" x14ac:dyDescent="0.2">
      <c r="A817" t="s">
        <v>121</v>
      </c>
      <c r="B817">
        <v>71717</v>
      </c>
      <c r="C817">
        <v>16</v>
      </c>
      <c r="D817">
        <v>1</v>
      </c>
      <c r="E817" s="7" t="s">
        <v>113</v>
      </c>
      <c r="F817">
        <v>2</v>
      </c>
    </row>
    <row r="818" spans="1:6" x14ac:dyDescent="0.2">
      <c r="A818" t="s">
        <v>121</v>
      </c>
      <c r="B818">
        <v>71717</v>
      </c>
      <c r="C818">
        <v>17</v>
      </c>
      <c r="D818">
        <v>1</v>
      </c>
      <c r="E818" s="7" t="s">
        <v>113</v>
      </c>
      <c r="F818">
        <v>45</v>
      </c>
    </row>
    <row r="819" spans="1:6" x14ac:dyDescent="0.2">
      <c r="A819" t="s">
        <v>121</v>
      </c>
      <c r="B819">
        <v>71717</v>
      </c>
      <c r="C819">
        <v>18</v>
      </c>
      <c r="D819">
        <v>1</v>
      </c>
      <c r="E819" s="7" t="s">
        <v>113</v>
      </c>
      <c r="F819">
        <v>64</v>
      </c>
    </row>
    <row r="820" spans="1:6" x14ac:dyDescent="0.2">
      <c r="A820" t="s">
        <v>121</v>
      </c>
      <c r="B820">
        <v>71717</v>
      </c>
      <c r="C820">
        <v>19</v>
      </c>
      <c r="D820">
        <v>1</v>
      </c>
      <c r="E820" s="7" t="s">
        <v>113</v>
      </c>
      <c r="F820">
        <v>64</v>
      </c>
    </row>
    <row r="821" spans="1:6" x14ac:dyDescent="0.2">
      <c r="A821" t="s">
        <v>121</v>
      </c>
      <c r="B821">
        <v>71717</v>
      </c>
      <c r="C821">
        <v>20</v>
      </c>
      <c r="D821">
        <v>1</v>
      </c>
      <c r="E821" s="7" t="s">
        <v>113</v>
      </c>
      <c r="F821" s="7" t="s">
        <v>115</v>
      </c>
    </row>
    <row r="822" spans="1:6" x14ac:dyDescent="0.2">
      <c r="A822" t="s">
        <v>121</v>
      </c>
      <c r="B822">
        <v>71717</v>
      </c>
      <c r="C822">
        <v>21</v>
      </c>
      <c r="D822">
        <v>1</v>
      </c>
      <c r="E822" s="7" t="s">
        <v>113</v>
      </c>
      <c r="F822" s="7">
        <v>90</v>
      </c>
    </row>
    <row r="823" spans="1:6" x14ac:dyDescent="0.2">
      <c r="A823" t="s">
        <v>121</v>
      </c>
      <c r="B823">
        <v>71717</v>
      </c>
      <c r="C823">
        <v>22</v>
      </c>
      <c r="D823">
        <v>1</v>
      </c>
      <c r="E823" s="7" t="s">
        <v>113</v>
      </c>
      <c r="F823" s="7" t="s">
        <v>115</v>
      </c>
    </row>
    <row r="824" spans="1:6" x14ac:dyDescent="0.2">
      <c r="A824" t="s">
        <v>121</v>
      </c>
      <c r="B824">
        <v>71717</v>
      </c>
      <c r="C824">
        <v>23</v>
      </c>
      <c r="D824">
        <v>1</v>
      </c>
      <c r="E824" s="7" t="s">
        <v>113</v>
      </c>
      <c r="F824" s="7" t="s">
        <v>115</v>
      </c>
    </row>
    <row r="825" spans="1:6" x14ac:dyDescent="0.2">
      <c r="A825" t="s">
        <v>121</v>
      </c>
      <c r="B825">
        <v>71717</v>
      </c>
      <c r="C825">
        <v>24</v>
      </c>
      <c r="D825">
        <v>1</v>
      </c>
      <c r="E825" s="7" t="s">
        <v>113</v>
      </c>
      <c r="F825" s="7" t="s">
        <v>115</v>
      </c>
    </row>
    <row r="826" spans="1:6" x14ac:dyDescent="0.2">
      <c r="A826" t="s">
        <v>121</v>
      </c>
      <c r="B826">
        <v>71717</v>
      </c>
      <c r="C826">
        <v>25</v>
      </c>
      <c r="D826">
        <v>1</v>
      </c>
      <c r="E826" s="7" t="s">
        <v>113</v>
      </c>
      <c r="F826" s="7" t="s">
        <v>115</v>
      </c>
    </row>
    <row r="827" spans="1:6" x14ac:dyDescent="0.2">
      <c r="A827" t="s">
        <v>121</v>
      </c>
      <c r="B827">
        <v>71717</v>
      </c>
      <c r="C827">
        <v>26</v>
      </c>
      <c r="D827">
        <v>1</v>
      </c>
      <c r="E827" s="7" t="s">
        <v>113</v>
      </c>
      <c r="F827">
        <v>64</v>
      </c>
    </row>
    <row r="828" spans="1:6" x14ac:dyDescent="0.2">
      <c r="A828" t="s">
        <v>121</v>
      </c>
      <c r="B828">
        <v>71717</v>
      </c>
      <c r="C828">
        <v>27</v>
      </c>
      <c r="D828">
        <v>1</v>
      </c>
      <c r="E828" s="7" t="s">
        <v>113</v>
      </c>
      <c r="F828" s="7" t="s">
        <v>115</v>
      </c>
    </row>
    <row r="829" spans="1:6" x14ac:dyDescent="0.2">
      <c r="A829" t="s">
        <v>121</v>
      </c>
      <c r="B829">
        <v>71717</v>
      </c>
      <c r="C829">
        <v>28</v>
      </c>
      <c r="D829">
        <v>1</v>
      </c>
      <c r="E829" s="7" t="s">
        <v>113</v>
      </c>
      <c r="F829" s="7" t="s">
        <v>115</v>
      </c>
    </row>
    <row r="830" spans="1:6" x14ac:dyDescent="0.2">
      <c r="A830" t="s">
        <v>121</v>
      </c>
      <c r="B830">
        <v>71717</v>
      </c>
      <c r="C830">
        <v>29</v>
      </c>
      <c r="D830">
        <v>1</v>
      </c>
      <c r="E830" s="7" t="s">
        <v>113</v>
      </c>
      <c r="F830" s="7" t="s">
        <v>115</v>
      </c>
    </row>
    <row r="831" spans="1:6" x14ac:dyDescent="0.2">
      <c r="A831" t="s">
        <v>121</v>
      </c>
      <c r="B831">
        <v>71717</v>
      </c>
      <c r="C831">
        <v>30</v>
      </c>
      <c r="D831">
        <v>1</v>
      </c>
      <c r="E831" s="7" t="s">
        <v>113</v>
      </c>
      <c r="F831" s="7" t="s">
        <v>115</v>
      </c>
    </row>
    <row r="832" spans="1:6" x14ac:dyDescent="0.2">
      <c r="A832" t="s">
        <v>121</v>
      </c>
      <c r="B832">
        <v>71717</v>
      </c>
      <c r="C832">
        <v>31</v>
      </c>
      <c r="D832">
        <v>1</v>
      </c>
      <c r="E832" s="7" t="s">
        <v>113</v>
      </c>
      <c r="F832" s="7" t="s">
        <v>115</v>
      </c>
    </row>
    <row r="833" spans="1:6" x14ac:dyDescent="0.2">
      <c r="A833" t="s">
        <v>121</v>
      </c>
      <c r="B833">
        <v>71717</v>
      </c>
      <c r="C833">
        <v>32</v>
      </c>
      <c r="D833">
        <v>1</v>
      </c>
      <c r="E833" s="7" t="s">
        <v>113</v>
      </c>
      <c r="F833" s="7" t="s">
        <v>115</v>
      </c>
    </row>
    <row r="834" spans="1:6" x14ac:dyDescent="0.2">
      <c r="A834" t="s">
        <v>121</v>
      </c>
      <c r="B834">
        <v>71717</v>
      </c>
      <c r="C834">
        <v>33</v>
      </c>
      <c r="D834">
        <v>1</v>
      </c>
      <c r="E834" s="7" t="s">
        <v>113</v>
      </c>
      <c r="F834" s="7" t="s">
        <v>115</v>
      </c>
    </row>
    <row r="835" spans="1:6" x14ac:dyDescent="0.2">
      <c r="A835" t="s">
        <v>121</v>
      </c>
      <c r="B835">
        <v>71717</v>
      </c>
      <c r="C835">
        <v>34</v>
      </c>
      <c r="D835">
        <v>1</v>
      </c>
      <c r="E835" s="7" t="s">
        <v>113</v>
      </c>
      <c r="F835" s="7" t="s">
        <v>115</v>
      </c>
    </row>
    <row r="836" spans="1:6" x14ac:dyDescent="0.2">
      <c r="A836" t="s">
        <v>121</v>
      </c>
      <c r="B836">
        <v>71717</v>
      </c>
      <c r="C836">
        <v>35</v>
      </c>
      <c r="D836">
        <v>2</v>
      </c>
      <c r="E836" s="7" t="s">
        <v>113</v>
      </c>
      <c r="F836">
        <v>11</v>
      </c>
    </row>
    <row r="837" spans="1:6" x14ac:dyDescent="0.2">
      <c r="A837" t="s">
        <v>121</v>
      </c>
      <c r="B837">
        <v>71717</v>
      </c>
      <c r="C837">
        <v>36</v>
      </c>
      <c r="D837">
        <v>2</v>
      </c>
      <c r="E837" s="7" t="s">
        <v>113</v>
      </c>
      <c r="F837">
        <v>64</v>
      </c>
    </row>
    <row r="838" spans="1:6" x14ac:dyDescent="0.2">
      <c r="A838" t="s">
        <v>121</v>
      </c>
      <c r="B838">
        <v>71717</v>
      </c>
      <c r="C838">
        <v>37</v>
      </c>
      <c r="D838">
        <v>2</v>
      </c>
      <c r="E838" s="7" t="s">
        <v>113</v>
      </c>
      <c r="F838">
        <v>22.6</v>
      </c>
    </row>
    <row r="839" spans="1:6" x14ac:dyDescent="0.2">
      <c r="A839" t="s">
        <v>121</v>
      </c>
      <c r="B839">
        <v>71717</v>
      </c>
      <c r="C839">
        <v>38</v>
      </c>
      <c r="D839">
        <v>2</v>
      </c>
      <c r="E839" s="7" t="s">
        <v>113</v>
      </c>
      <c r="F839">
        <v>32</v>
      </c>
    </row>
    <row r="840" spans="1:6" x14ac:dyDescent="0.2">
      <c r="A840" t="s">
        <v>121</v>
      </c>
      <c r="B840">
        <v>71717</v>
      </c>
      <c r="C840">
        <v>39</v>
      </c>
      <c r="D840">
        <v>2</v>
      </c>
      <c r="E840" s="7" t="s">
        <v>112</v>
      </c>
      <c r="F840">
        <v>8</v>
      </c>
    </row>
    <row r="841" spans="1:6" x14ac:dyDescent="0.2">
      <c r="A841" t="s">
        <v>121</v>
      </c>
      <c r="B841">
        <v>71717</v>
      </c>
      <c r="C841">
        <v>40</v>
      </c>
      <c r="D841">
        <v>2</v>
      </c>
      <c r="E841" s="7" t="s">
        <v>112</v>
      </c>
      <c r="F841">
        <v>8</v>
      </c>
    </row>
    <row r="842" spans="1:6" x14ac:dyDescent="0.2">
      <c r="A842" t="s">
        <v>121</v>
      </c>
      <c r="B842">
        <v>71717</v>
      </c>
      <c r="C842">
        <v>41</v>
      </c>
      <c r="D842">
        <v>2</v>
      </c>
      <c r="E842" s="7" t="s">
        <v>112</v>
      </c>
      <c r="F842">
        <v>16</v>
      </c>
    </row>
    <row r="843" spans="1:6" x14ac:dyDescent="0.2">
      <c r="A843" t="s">
        <v>121</v>
      </c>
      <c r="B843">
        <v>71717</v>
      </c>
      <c r="C843">
        <v>42</v>
      </c>
      <c r="D843">
        <v>2</v>
      </c>
      <c r="E843" s="7" t="s">
        <v>113</v>
      </c>
      <c r="F843">
        <v>16</v>
      </c>
    </row>
    <row r="844" spans="1:6" x14ac:dyDescent="0.2">
      <c r="A844" t="s">
        <v>121</v>
      </c>
      <c r="B844">
        <v>71717</v>
      </c>
      <c r="C844">
        <v>43</v>
      </c>
      <c r="D844">
        <v>2</v>
      </c>
      <c r="E844" s="7" t="s">
        <v>113</v>
      </c>
      <c r="F844" s="7" t="s">
        <v>115</v>
      </c>
    </row>
    <row r="845" spans="1:6" x14ac:dyDescent="0.2">
      <c r="A845" t="s">
        <v>121</v>
      </c>
      <c r="B845">
        <v>71717</v>
      </c>
      <c r="C845">
        <v>44</v>
      </c>
      <c r="D845">
        <v>2</v>
      </c>
      <c r="E845" s="7" t="s">
        <v>113</v>
      </c>
      <c r="F845" s="7" t="s">
        <v>115</v>
      </c>
    </row>
    <row r="846" spans="1:6" x14ac:dyDescent="0.2">
      <c r="A846" t="s">
        <v>121</v>
      </c>
      <c r="B846">
        <v>71717</v>
      </c>
      <c r="C846">
        <v>45</v>
      </c>
      <c r="D846">
        <v>3</v>
      </c>
      <c r="E846" s="7" t="s">
        <v>113</v>
      </c>
      <c r="F846" s="7" t="s">
        <v>115</v>
      </c>
    </row>
    <row r="847" spans="1:6" x14ac:dyDescent="0.2">
      <c r="A847" t="s">
        <v>121</v>
      </c>
      <c r="B847">
        <v>71717</v>
      </c>
      <c r="C847">
        <v>46</v>
      </c>
      <c r="D847">
        <v>3</v>
      </c>
      <c r="E847" s="7" t="s">
        <v>113</v>
      </c>
      <c r="F847">
        <v>64</v>
      </c>
    </row>
    <row r="848" spans="1:6" x14ac:dyDescent="0.2">
      <c r="A848" t="s">
        <v>121</v>
      </c>
      <c r="B848">
        <v>71717</v>
      </c>
      <c r="C848">
        <v>47</v>
      </c>
      <c r="D848">
        <v>3</v>
      </c>
      <c r="E848" s="7" t="s">
        <v>113</v>
      </c>
      <c r="F848">
        <v>16</v>
      </c>
    </row>
    <row r="849" spans="1:6" x14ac:dyDescent="0.2">
      <c r="A849" t="s">
        <v>121</v>
      </c>
      <c r="B849">
        <v>71717</v>
      </c>
      <c r="C849">
        <v>48</v>
      </c>
      <c r="D849">
        <v>3</v>
      </c>
      <c r="E849" s="7" t="s">
        <v>113</v>
      </c>
      <c r="F849">
        <v>128</v>
      </c>
    </row>
    <row r="850" spans="1:6" x14ac:dyDescent="0.2">
      <c r="A850" t="s">
        <v>121</v>
      </c>
      <c r="B850">
        <v>71717</v>
      </c>
      <c r="C850">
        <v>49</v>
      </c>
      <c r="D850">
        <v>3</v>
      </c>
      <c r="E850" s="7" t="s">
        <v>112</v>
      </c>
      <c r="F850">
        <v>16</v>
      </c>
    </row>
    <row r="851" spans="1:6" x14ac:dyDescent="0.2">
      <c r="A851" t="s">
        <v>121</v>
      </c>
      <c r="B851">
        <v>71717</v>
      </c>
      <c r="C851">
        <v>50</v>
      </c>
      <c r="D851">
        <v>3</v>
      </c>
      <c r="E851" s="7" t="s">
        <v>112</v>
      </c>
      <c r="F851">
        <v>16</v>
      </c>
    </row>
    <row r="852" spans="1:6" x14ac:dyDescent="0.2">
      <c r="A852" t="s">
        <v>121</v>
      </c>
      <c r="B852">
        <v>71717</v>
      </c>
      <c r="C852">
        <v>51</v>
      </c>
      <c r="D852">
        <v>3</v>
      </c>
      <c r="E852" s="7" t="s">
        <v>112</v>
      </c>
      <c r="F852">
        <v>11</v>
      </c>
    </row>
    <row r="853" spans="1:6" x14ac:dyDescent="0.2">
      <c r="A853" t="s">
        <v>121</v>
      </c>
      <c r="B853">
        <v>71717</v>
      </c>
      <c r="C853">
        <v>52</v>
      </c>
      <c r="D853">
        <v>3</v>
      </c>
      <c r="E853" s="7" t="s">
        <v>113</v>
      </c>
      <c r="F853">
        <v>11</v>
      </c>
    </row>
    <row r="854" spans="1:6" x14ac:dyDescent="0.2">
      <c r="A854" t="s">
        <v>121</v>
      </c>
      <c r="B854">
        <v>71717</v>
      </c>
      <c r="C854">
        <v>53</v>
      </c>
      <c r="D854">
        <v>3</v>
      </c>
      <c r="E854" s="7" t="s">
        <v>113</v>
      </c>
      <c r="F854" s="7" t="s">
        <v>115</v>
      </c>
    </row>
    <row r="855" spans="1:6" x14ac:dyDescent="0.2">
      <c r="A855" t="s">
        <v>121</v>
      </c>
      <c r="B855">
        <v>71717</v>
      </c>
      <c r="C855">
        <v>54</v>
      </c>
      <c r="D855">
        <v>3</v>
      </c>
      <c r="E855" s="7" t="s">
        <v>113</v>
      </c>
      <c r="F855" s="7">
        <v>90</v>
      </c>
    </row>
    <row r="856" spans="1:6" x14ac:dyDescent="0.2">
      <c r="A856" t="s">
        <v>121</v>
      </c>
      <c r="B856">
        <v>71717</v>
      </c>
      <c r="C856">
        <v>55</v>
      </c>
      <c r="D856">
        <v>3</v>
      </c>
      <c r="E856" s="7" t="s">
        <v>113</v>
      </c>
      <c r="F856" s="7" t="s">
        <v>115</v>
      </c>
    </row>
    <row r="857" spans="1:6" x14ac:dyDescent="0.2">
      <c r="A857" t="s">
        <v>121</v>
      </c>
      <c r="B857">
        <v>71717</v>
      </c>
      <c r="C857">
        <v>56</v>
      </c>
      <c r="D857">
        <v>3</v>
      </c>
      <c r="E857" s="7" t="s">
        <v>113</v>
      </c>
      <c r="F857" s="7" t="s">
        <v>115</v>
      </c>
    </row>
    <row r="858" spans="1:6" x14ac:dyDescent="0.2">
      <c r="A858" t="s">
        <v>121</v>
      </c>
      <c r="B858">
        <v>71717</v>
      </c>
      <c r="C858">
        <v>57</v>
      </c>
      <c r="D858">
        <v>3</v>
      </c>
      <c r="E858" s="7" t="s">
        <v>113</v>
      </c>
      <c r="F858" s="7" t="s">
        <v>115</v>
      </c>
    </row>
    <row r="859" spans="1:6" x14ac:dyDescent="0.2">
      <c r="A859" t="s">
        <v>121</v>
      </c>
      <c r="B859">
        <v>71717</v>
      </c>
      <c r="C859">
        <v>58</v>
      </c>
      <c r="D859">
        <v>3</v>
      </c>
      <c r="E859" s="7" t="s">
        <v>113</v>
      </c>
      <c r="F859">
        <v>64</v>
      </c>
    </row>
    <row r="860" spans="1:6" x14ac:dyDescent="0.2">
      <c r="A860" t="s">
        <v>121</v>
      </c>
      <c r="B860">
        <v>71717</v>
      </c>
      <c r="C860">
        <v>59</v>
      </c>
      <c r="D860">
        <v>3</v>
      </c>
      <c r="E860" s="7" t="s">
        <v>113</v>
      </c>
      <c r="F860" s="7" t="s">
        <v>115</v>
      </c>
    </row>
    <row r="861" spans="1:6" x14ac:dyDescent="0.2">
      <c r="A861" t="s">
        <v>121</v>
      </c>
      <c r="B861">
        <v>71717</v>
      </c>
      <c r="C861">
        <v>60</v>
      </c>
      <c r="D861">
        <v>3</v>
      </c>
      <c r="E861" s="7" t="s">
        <v>113</v>
      </c>
      <c r="F861">
        <v>90</v>
      </c>
    </row>
    <row r="862" spans="1:6" x14ac:dyDescent="0.2">
      <c r="A862" t="s">
        <v>121</v>
      </c>
      <c r="B862">
        <v>71717</v>
      </c>
      <c r="C862">
        <v>61</v>
      </c>
      <c r="D862">
        <v>4</v>
      </c>
      <c r="E862" s="7" t="s">
        <v>113</v>
      </c>
      <c r="F862" s="7" t="s">
        <v>115</v>
      </c>
    </row>
    <row r="863" spans="1:6" x14ac:dyDescent="0.2">
      <c r="A863" t="s">
        <v>121</v>
      </c>
      <c r="B863">
        <v>71717</v>
      </c>
      <c r="C863">
        <v>62</v>
      </c>
      <c r="D863">
        <v>4</v>
      </c>
      <c r="E863" s="7" t="s">
        <v>113</v>
      </c>
      <c r="F863" s="7" t="s">
        <v>115</v>
      </c>
    </row>
    <row r="864" spans="1:6" x14ac:dyDescent="0.2">
      <c r="A864" t="s">
        <v>121</v>
      </c>
      <c r="B864">
        <v>71717</v>
      </c>
      <c r="C864">
        <v>63</v>
      </c>
      <c r="D864">
        <v>4</v>
      </c>
      <c r="E864" s="7" t="s">
        <v>113</v>
      </c>
      <c r="F864" s="7" t="s">
        <v>115</v>
      </c>
    </row>
    <row r="865" spans="1:6" x14ac:dyDescent="0.2">
      <c r="A865" t="s">
        <v>121</v>
      </c>
      <c r="B865">
        <v>71717</v>
      </c>
      <c r="C865">
        <v>64</v>
      </c>
      <c r="D865">
        <v>4</v>
      </c>
      <c r="E865" s="7" t="s">
        <v>113</v>
      </c>
      <c r="F865" s="7" t="s">
        <v>115</v>
      </c>
    </row>
    <row r="866" spans="1:6" x14ac:dyDescent="0.2">
      <c r="A866" t="s">
        <v>121</v>
      </c>
      <c r="B866">
        <v>71717</v>
      </c>
      <c r="C866">
        <v>65</v>
      </c>
      <c r="D866">
        <v>4</v>
      </c>
      <c r="E866" s="7" t="s">
        <v>113</v>
      </c>
      <c r="F866">
        <v>128</v>
      </c>
    </row>
    <row r="867" spans="1:6" x14ac:dyDescent="0.2">
      <c r="A867" t="s">
        <v>121</v>
      </c>
      <c r="B867">
        <v>71717</v>
      </c>
      <c r="C867">
        <v>66</v>
      </c>
      <c r="D867">
        <v>4</v>
      </c>
      <c r="E867" s="7" t="s">
        <v>113</v>
      </c>
      <c r="F867">
        <v>45</v>
      </c>
    </row>
    <row r="868" spans="1:6" x14ac:dyDescent="0.2">
      <c r="A868" t="s">
        <v>121</v>
      </c>
      <c r="B868">
        <v>71717</v>
      </c>
      <c r="C868">
        <v>67</v>
      </c>
      <c r="D868">
        <v>4</v>
      </c>
      <c r="E868" s="7" t="s">
        <v>112</v>
      </c>
      <c r="F868">
        <v>5.6</v>
      </c>
    </row>
    <row r="869" spans="1:6" x14ac:dyDescent="0.2">
      <c r="A869" t="s">
        <v>121</v>
      </c>
      <c r="B869">
        <v>71717</v>
      </c>
      <c r="C869">
        <v>68</v>
      </c>
      <c r="D869">
        <v>4</v>
      </c>
      <c r="E869" s="7" t="s">
        <v>112</v>
      </c>
      <c r="F869">
        <v>2.6</v>
      </c>
    </row>
    <row r="870" spans="1:6" x14ac:dyDescent="0.2">
      <c r="A870" t="s">
        <v>121</v>
      </c>
      <c r="B870">
        <v>71717</v>
      </c>
      <c r="C870">
        <v>69</v>
      </c>
      <c r="D870">
        <v>4</v>
      </c>
      <c r="E870" s="7" t="s">
        <v>112</v>
      </c>
      <c r="F870">
        <v>90</v>
      </c>
    </row>
    <row r="871" spans="1:6" x14ac:dyDescent="0.2">
      <c r="A871" t="s">
        <v>121</v>
      </c>
      <c r="B871">
        <v>71717</v>
      </c>
      <c r="C871">
        <v>70</v>
      </c>
      <c r="D871">
        <v>4</v>
      </c>
      <c r="E871" s="7" t="s">
        <v>112</v>
      </c>
      <c r="F871">
        <v>64</v>
      </c>
    </row>
    <row r="872" spans="1:6" x14ac:dyDescent="0.2">
      <c r="A872" t="s">
        <v>121</v>
      </c>
      <c r="B872">
        <v>71717</v>
      </c>
      <c r="C872">
        <v>71</v>
      </c>
      <c r="D872">
        <v>4</v>
      </c>
      <c r="E872" s="7" t="s">
        <v>113</v>
      </c>
      <c r="F872" s="7" t="s">
        <v>115</v>
      </c>
    </row>
    <row r="873" spans="1:6" x14ac:dyDescent="0.2">
      <c r="A873" t="s">
        <v>121</v>
      </c>
      <c r="B873">
        <v>71717</v>
      </c>
      <c r="C873">
        <v>72</v>
      </c>
      <c r="D873">
        <v>5</v>
      </c>
      <c r="E873" s="7" t="s">
        <v>113</v>
      </c>
      <c r="F873" s="7">
        <v>128</v>
      </c>
    </row>
    <row r="874" spans="1:6" x14ac:dyDescent="0.2">
      <c r="A874" t="s">
        <v>121</v>
      </c>
      <c r="B874">
        <v>71717</v>
      </c>
      <c r="C874">
        <v>73</v>
      </c>
      <c r="D874">
        <v>5</v>
      </c>
      <c r="E874" s="7" t="s">
        <v>113</v>
      </c>
      <c r="F874" s="7">
        <v>180</v>
      </c>
    </row>
    <row r="875" spans="1:6" x14ac:dyDescent="0.2">
      <c r="A875" t="s">
        <v>121</v>
      </c>
      <c r="B875">
        <v>71717</v>
      </c>
      <c r="C875">
        <v>74</v>
      </c>
      <c r="D875">
        <v>5</v>
      </c>
      <c r="E875" s="7" t="s">
        <v>112</v>
      </c>
      <c r="F875" s="7">
        <v>4</v>
      </c>
    </row>
    <row r="876" spans="1:6" x14ac:dyDescent="0.2">
      <c r="A876" t="s">
        <v>121</v>
      </c>
      <c r="B876">
        <v>71717</v>
      </c>
      <c r="C876">
        <v>75</v>
      </c>
      <c r="D876">
        <v>5</v>
      </c>
      <c r="E876" s="7" t="s">
        <v>112</v>
      </c>
      <c r="F876" s="7">
        <v>64</v>
      </c>
    </row>
    <row r="877" spans="1:6" x14ac:dyDescent="0.2">
      <c r="A877" t="s">
        <v>121</v>
      </c>
      <c r="B877">
        <v>71717</v>
      </c>
      <c r="C877">
        <v>76</v>
      </c>
      <c r="D877">
        <v>5</v>
      </c>
      <c r="E877" s="7" t="s">
        <v>112</v>
      </c>
      <c r="F877" s="7">
        <v>180</v>
      </c>
    </row>
    <row r="878" spans="1:6" x14ac:dyDescent="0.2">
      <c r="A878" t="s">
        <v>121</v>
      </c>
      <c r="B878">
        <v>71717</v>
      </c>
      <c r="C878">
        <v>77</v>
      </c>
      <c r="D878">
        <v>5</v>
      </c>
      <c r="E878" s="7" t="s">
        <v>112</v>
      </c>
      <c r="F878" s="7">
        <v>180</v>
      </c>
    </row>
    <row r="879" spans="1:6" x14ac:dyDescent="0.2">
      <c r="A879" t="s">
        <v>121</v>
      </c>
      <c r="B879">
        <v>71717</v>
      </c>
      <c r="C879">
        <v>78</v>
      </c>
      <c r="D879">
        <v>5</v>
      </c>
      <c r="E879" s="7" t="s">
        <v>113</v>
      </c>
      <c r="F879" s="7" t="s">
        <v>115</v>
      </c>
    </row>
    <row r="880" spans="1:6" x14ac:dyDescent="0.2">
      <c r="A880" t="s">
        <v>121</v>
      </c>
      <c r="B880">
        <v>71717</v>
      </c>
      <c r="C880">
        <v>79</v>
      </c>
      <c r="D880">
        <v>5</v>
      </c>
      <c r="E880" s="7" t="s">
        <v>113</v>
      </c>
      <c r="F880" s="7" t="s">
        <v>115</v>
      </c>
    </row>
    <row r="881" spans="1:6" x14ac:dyDescent="0.2">
      <c r="A881" t="s">
        <v>121</v>
      </c>
      <c r="B881">
        <v>71717</v>
      </c>
      <c r="C881">
        <v>80</v>
      </c>
      <c r="D881">
        <v>5</v>
      </c>
      <c r="E881" s="7" t="s">
        <v>113</v>
      </c>
      <c r="F881" s="7">
        <v>180</v>
      </c>
    </row>
    <row r="882" spans="1:6" x14ac:dyDescent="0.2">
      <c r="A882" t="s">
        <v>121</v>
      </c>
      <c r="B882">
        <v>71717</v>
      </c>
      <c r="C882">
        <v>81</v>
      </c>
      <c r="D882">
        <v>5</v>
      </c>
      <c r="E882" s="7" t="s">
        <v>113</v>
      </c>
      <c r="F882" s="7">
        <v>90</v>
      </c>
    </row>
    <row r="883" spans="1:6" x14ac:dyDescent="0.2">
      <c r="A883" t="s">
        <v>121</v>
      </c>
      <c r="B883">
        <v>71717</v>
      </c>
      <c r="C883">
        <v>82</v>
      </c>
      <c r="D883">
        <v>5</v>
      </c>
      <c r="E883" s="7" t="s">
        <v>113</v>
      </c>
      <c r="F883" s="7" t="s">
        <v>115</v>
      </c>
    </row>
    <row r="884" spans="1:6" x14ac:dyDescent="0.2">
      <c r="A884" t="s">
        <v>121</v>
      </c>
      <c r="B884">
        <v>71717</v>
      </c>
      <c r="C884">
        <v>83</v>
      </c>
      <c r="D884">
        <v>5</v>
      </c>
      <c r="E884" s="7" t="s">
        <v>113</v>
      </c>
      <c r="F884" s="7" t="s">
        <v>115</v>
      </c>
    </row>
    <row r="885" spans="1:6" x14ac:dyDescent="0.2">
      <c r="A885" t="s">
        <v>121</v>
      </c>
      <c r="B885">
        <v>71717</v>
      </c>
      <c r="C885">
        <v>84</v>
      </c>
      <c r="D885">
        <v>5</v>
      </c>
      <c r="E885" s="7" t="s">
        <v>113</v>
      </c>
      <c r="F885" s="7" t="s">
        <v>115</v>
      </c>
    </row>
    <row r="886" spans="1:6" x14ac:dyDescent="0.2">
      <c r="A886" t="s">
        <v>121</v>
      </c>
      <c r="B886">
        <v>71717</v>
      </c>
      <c r="C886">
        <v>85</v>
      </c>
      <c r="D886">
        <v>5</v>
      </c>
      <c r="E886" s="7" t="s">
        <v>113</v>
      </c>
      <c r="F886" s="7" t="s">
        <v>115</v>
      </c>
    </row>
    <row r="887" spans="1:6" x14ac:dyDescent="0.2">
      <c r="A887" t="s">
        <v>121</v>
      </c>
      <c r="B887">
        <v>71717</v>
      </c>
      <c r="C887">
        <v>86</v>
      </c>
      <c r="D887">
        <v>6</v>
      </c>
      <c r="E887" s="7" t="s">
        <v>113</v>
      </c>
      <c r="F887" s="7" t="s">
        <v>115</v>
      </c>
    </row>
    <row r="888" spans="1:6" x14ac:dyDescent="0.2">
      <c r="A888" t="s">
        <v>121</v>
      </c>
      <c r="B888">
        <v>71717</v>
      </c>
      <c r="C888">
        <v>87</v>
      </c>
      <c r="D888">
        <v>6</v>
      </c>
      <c r="E888" s="7" t="s">
        <v>113</v>
      </c>
      <c r="F888" s="7" t="s">
        <v>115</v>
      </c>
    </row>
    <row r="889" spans="1:6" x14ac:dyDescent="0.2">
      <c r="A889" t="s">
        <v>121</v>
      </c>
      <c r="B889">
        <v>71717</v>
      </c>
      <c r="C889">
        <v>88</v>
      </c>
      <c r="D889">
        <v>6</v>
      </c>
      <c r="E889" s="7" t="s">
        <v>113</v>
      </c>
      <c r="F889" s="7" t="s">
        <v>115</v>
      </c>
    </row>
    <row r="890" spans="1:6" x14ac:dyDescent="0.2">
      <c r="A890" t="s">
        <v>121</v>
      </c>
      <c r="B890">
        <v>71717</v>
      </c>
      <c r="C890">
        <v>89</v>
      </c>
      <c r="D890">
        <v>6</v>
      </c>
      <c r="E890" s="7" t="s">
        <v>132</v>
      </c>
      <c r="F890" s="7" t="s">
        <v>115</v>
      </c>
    </row>
    <row r="891" spans="1:6" x14ac:dyDescent="0.2">
      <c r="A891" t="s">
        <v>121</v>
      </c>
      <c r="B891">
        <v>71717</v>
      </c>
      <c r="C891">
        <v>90</v>
      </c>
      <c r="D891">
        <v>6</v>
      </c>
      <c r="E891" s="7" t="s">
        <v>112</v>
      </c>
      <c r="F891">
        <v>90</v>
      </c>
    </row>
    <row r="892" spans="1:6" x14ac:dyDescent="0.2">
      <c r="A892" t="s">
        <v>121</v>
      </c>
      <c r="B892">
        <v>71717</v>
      </c>
      <c r="C892">
        <v>91</v>
      </c>
      <c r="D892">
        <v>6</v>
      </c>
      <c r="E892" s="7" t="s">
        <v>112</v>
      </c>
      <c r="F892">
        <v>45</v>
      </c>
    </row>
    <row r="893" spans="1:6" x14ac:dyDescent="0.2">
      <c r="A893" t="s">
        <v>121</v>
      </c>
      <c r="B893">
        <v>71717</v>
      </c>
      <c r="C893">
        <v>92</v>
      </c>
      <c r="D893">
        <v>6</v>
      </c>
      <c r="E893" s="7" t="s">
        <v>112</v>
      </c>
      <c r="F893">
        <v>45</v>
      </c>
    </row>
    <row r="894" spans="1:6" x14ac:dyDescent="0.2">
      <c r="A894" t="s">
        <v>121</v>
      </c>
      <c r="B894">
        <v>71717</v>
      </c>
      <c r="C894">
        <v>93</v>
      </c>
      <c r="D894">
        <v>6</v>
      </c>
      <c r="E894" s="7" t="s">
        <v>112</v>
      </c>
      <c r="F894">
        <v>64</v>
      </c>
    </row>
    <row r="895" spans="1:6" x14ac:dyDescent="0.2">
      <c r="A895" t="s">
        <v>121</v>
      </c>
      <c r="B895">
        <v>71717</v>
      </c>
      <c r="C895">
        <v>94</v>
      </c>
      <c r="D895">
        <v>6</v>
      </c>
      <c r="E895" s="7" t="s">
        <v>112</v>
      </c>
      <c r="F895">
        <v>45</v>
      </c>
    </row>
    <row r="896" spans="1:6" x14ac:dyDescent="0.2">
      <c r="A896" t="s">
        <v>121</v>
      </c>
      <c r="B896">
        <v>71717</v>
      </c>
      <c r="C896">
        <v>95</v>
      </c>
      <c r="D896">
        <v>6</v>
      </c>
      <c r="E896" s="7" t="s">
        <v>113</v>
      </c>
      <c r="F896" s="7" t="s">
        <v>115</v>
      </c>
    </row>
    <row r="897" spans="1:6" x14ac:dyDescent="0.2">
      <c r="A897" t="s">
        <v>121</v>
      </c>
      <c r="B897">
        <v>71717</v>
      </c>
      <c r="C897">
        <v>96</v>
      </c>
      <c r="D897">
        <v>7</v>
      </c>
      <c r="E897" s="7" t="s">
        <v>113</v>
      </c>
      <c r="F897" s="7">
        <v>45</v>
      </c>
    </row>
    <row r="898" spans="1:6" x14ac:dyDescent="0.2">
      <c r="A898" t="s">
        <v>121</v>
      </c>
      <c r="B898">
        <v>71717</v>
      </c>
      <c r="C898">
        <v>97</v>
      </c>
      <c r="D898">
        <v>7</v>
      </c>
      <c r="E898" s="7" t="s">
        <v>112</v>
      </c>
      <c r="F898" s="7">
        <v>64</v>
      </c>
    </row>
    <row r="899" spans="1:6" x14ac:dyDescent="0.2">
      <c r="A899" t="s">
        <v>121</v>
      </c>
      <c r="B899">
        <v>71717</v>
      </c>
      <c r="C899">
        <v>98</v>
      </c>
      <c r="D899">
        <v>7</v>
      </c>
      <c r="E899" s="7" t="s">
        <v>112</v>
      </c>
      <c r="F899" s="7">
        <v>32</v>
      </c>
    </row>
    <row r="900" spans="1:6" x14ac:dyDescent="0.2">
      <c r="A900" t="s">
        <v>121</v>
      </c>
      <c r="B900">
        <v>71717</v>
      </c>
      <c r="C900">
        <v>99</v>
      </c>
      <c r="D900">
        <v>7</v>
      </c>
      <c r="E900" s="7" t="s">
        <v>112</v>
      </c>
      <c r="F900" s="7">
        <v>45</v>
      </c>
    </row>
    <row r="901" spans="1:6" x14ac:dyDescent="0.2">
      <c r="A901" t="s">
        <v>121</v>
      </c>
      <c r="B901">
        <v>71717</v>
      </c>
      <c r="C901">
        <v>100</v>
      </c>
      <c r="D901">
        <v>7</v>
      </c>
      <c r="E901" s="7" t="s">
        <v>112</v>
      </c>
      <c r="F901" s="7">
        <v>180</v>
      </c>
    </row>
    <row r="902" spans="1:6" x14ac:dyDescent="0.2">
      <c r="A902" t="s">
        <v>120</v>
      </c>
      <c r="B902">
        <v>71717</v>
      </c>
      <c r="C902">
        <v>1</v>
      </c>
      <c r="D902">
        <v>1</v>
      </c>
      <c r="E902" s="7" t="s">
        <v>133</v>
      </c>
      <c r="F902" s="7" t="s">
        <v>115</v>
      </c>
    </row>
    <row r="903" spans="1:6" x14ac:dyDescent="0.2">
      <c r="A903" t="s">
        <v>120</v>
      </c>
      <c r="B903">
        <v>71717</v>
      </c>
      <c r="C903">
        <v>2</v>
      </c>
      <c r="D903">
        <v>1</v>
      </c>
      <c r="E903" s="7" t="s">
        <v>133</v>
      </c>
      <c r="F903" s="7">
        <v>45</v>
      </c>
    </row>
    <row r="904" spans="1:6" x14ac:dyDescent="0.2">
      <c r="A904" t="s">
        <v>120</v>
      </c>
      <c r="B904">
        <v>71717</v>
      </c>
      <c r="C904">
        <v>3</v>
      </c>
      <c r="D904">
        <v>1</v>
      </c>
      <c r="E904" s="7" t="s">
        <v>133</v>
      </c>
      <c r="F904" s="7">
        <v>90</v>
      </c>
    </row>
    <row r="905" spans="1:6" x14ac:dyDescent="0.2">
      <c r="A905" t="s">
        <v>120</v>
      </c>
      <c r="B905">
        <v>71717</v>
      </c>
      <c r="C905">
        <v>4</v>
      </c>
      <c r="D905">
        <v>1</v>
      </c>
      <c r="E905" s="7" t="s">
        <v>133</v>
      </c>
      <c r="F905" s="7">
        <v>22.6</v>
      </c>
    </row>
    <row r="906" spans="1:6" x14ac:dyDescent="0.2">
      <c r="A906" t="s">
        <v>120</v>
      </c>
      <c r="B906">
        <v>71717</v>
      </c>
      <c r="C906">
        <v>5</v>
      </c>
      <c r="D906">
        <v>1</v>
      </c>
      <c r="E906" s="7" t="s">
        <v>133</v>
      </c>
      <c r="F906" s="7">
        <v>8</v>
      </c>
    </row>
    <row r="907" spans="1:6" x14ac:dyDescent="0.2">
      <c r="A907" t="s">
        <v>120</v>
      </c>
      <c r="B907">
        <v>71717</v>
      </c>
      <c r="C907">
        <v>6</v>
      </c>
      <c r="D907">
        <v>1</v>
      </c>
      <c r="E907" s="7" t="s">
        <v>133</v>
      </c>
      <c r="F907" s="7">
        <v>64</v>
      </c>
    </row>
    <row r="908" spans="1:6" x14ac:dyDescent="0.2">
      <c r="A908" t="s">
        <v>120</v>
      </c>
      <c r="B908">
        <v>71717</v>
      </c>
      <c r="C908">
        <v>7</v>
      </c>
      <c r="D908">
        <v>1</v>
      </c>
      <c r="E908" s="7" t="s">
        <v>133</v>
      </c>
      <c r="F908" s="7">
        <v>64</v>
      </c>
    </row>
    <row r="909" spans="1:6" x14ac:dyDescent="0.2">
      <c r="A909" t="s">
        <v>120</v>
      </c>
      <c r="B909">
        <v>71717</v>
      </c>
      <c r="C909">
        <v>8</v>
      </c>
      <c r="D909">
        <v>1</v>
      </c>
      <c r="E909" s="7" t="s">
        <v>133</v>
      </c>
      <c r="F909" s="7">
        <v>64</v>
      </c>
    </row>
    <row r="910" spans="1:6" x14ac:dyDescent="0.2">
      <c r="A910" t="s">
        <v>120</v>
      </c>
      <c r="B910">
        <v>71717</v>
      </c>
      <c r="C910">
        <v>9</v>
      </c>
      <c r="D910">
        <v>1</v>
      </c>
      <c r="E910" s="7" t="s">
        <v>133</v>
      </c>
      <c r="F910" s="7">
        <v>90</v>
      </c>
    </row>
    <row r="911" spans="1:6" x14ac:dyDescent="0.2">
      <c r="A911" t="s">
        <v>120</v>
      </c>
      <c r="B911">
        <v>71717</v>
      </c>
      <c r="C911">
        <v>10</v>
      </c>
      <c r="D911">
        <v>1</v>
      </c>
      <c r="E911" s="7" t="s">
        <v>133</v>
      </c>
      <c r="F911" s="7">
        <v>90</v>
      </c>
    </row>
    <row r="912" spans="1:6" x14ac:dyDescent="0.2">
      <c r="A912" t="s">
        <v>120</v>
      </c>
      <c r="B912">
        <v>71717</v>
      </c>
      <c r="C912">
        <v>11</v>
      </c>
      <c r="D912">
        <v>1</v>
      </c>
      <c r="E912" s="7" t="s">
        <v>133</v>
      </c>
      <c r="F912" s="7">
        <v>45</v>
      </c>
    </row>
    <row r="913" spans="1:6" x14ac:dyDescent="0.2">
      <c r="A913" t="s">
        <v>120</v>
      </c>
      <c r="B913">
        <v>71717</v>
      </c>
      <c r="C913">
        <v>12</v>
      </c>
      <c r="D913">
        <v>1</v>
      </c>
      <c r="E913" s="7" t="s">
        <v>133</v>
      </c>
      <c r="F913" s="7">
        <v>45</v>
      </c>
    </row>
    <row r="914" spans="1:6" x14ac:dyDescent="0.2">
      <c r="A914" t="s">
        <v>120</v>
      </c>
      <c r="B914">
        <v>71717</v>
      </c>
      <c r="C914">
        <v>13</v>
      </c>
      <c r="D914">
        <v>1</v>
      </c>
      <c r="E914" s="7" t="s">
        <v>133</v>
      </c>
      <c r="F914" s="7" t="s">
        <v>115</v>
      </c>
    </row>
    <row r="915" spans="1:6" x14ac:dyDescent="0.2">
      <c r="A915" t="s">
        <v>120</v>
      </c>
      <c r="B915">
        <v>71717</v>
      </c>
      <c r="C915">
        <v>14</v>
      </c>
      <c r="D915">
        <v>1</v>
      </c>
      <c r="E915" s="7" t="s">
        <v>133</v>
      </c>
      <c r="F915" s="7" t="s">
        <v>115</v>
      </c>
    </row>
    <row r="916" spans="1:6" x14ac:dyDescent="0.2">
      <c r="A916" t="s">
        <v>120</v>
      </c>
      <c r="B916">
        <v>71717</v>
      </c>
      <c r="C916">
        <v>15</v>
      </c>
      <c r="D916">
        <v>1</v>
      </c>
      <c r="E916" s="7" t="s">
        <v>133</v>
      </c>
      <c r="F916" s="7" t="s">
        <v>115</v>
      </c>
    </row>
    <row r="917" spans="1:6" x14ac:dyDescent="0.2">
      <c r="A917" t="s">
        <v>120</v>
      </c>
      <c r="B917">
        <v>71717</v>
      </c>
      <c r="C917">
        <v>16</v>
      </c>
      <c r="D917">
        <v>1</v>
      </c>
      <c r="E917" s="7" t="s">
        <v>133</v>
      </c>
      <c r="F917">
        <v>22.6</v>
      </c>
    </row>
    <row r="918" spans="1:6" x14ac:dyDescent="0.2">
      <c r="A918" t="s">
        <v>120</v>
      </c>
      <c r="B918">
        <v>71717</v>
      </c>
      <c r="C918">
        <v>17</v>
      </c>
      <c r="D918">
        <v>1</v>
      </c>
      <c r="E918" s="7" t="s">
        <v>133</v>
      </c>
      <c r="F918" s="7" t="s">
        <v>115</v>
      </c>
    </row>
    <row r="919" spans="1:6" x14ac:dyDescent="0.2">
      <c r="A919" t="s">
        <v>120</v>
      </c>
      <c r="B919">
        <v>71717</v>
      </c>
      <c r="C919">
        <v>18</v>
      </c>
      <c r="D919">
        <v>1</v>
      </c>
      <c r="E919" s="7" t="s">
        <v>112</v>
      </c>
      <c r="F919">
        <v>64</v>
      </c>
    </row>
    <row r="920" spans="1:6" x14ac:dyDescent="0.2">
      <c r="A920" t="s">
        <v>120</v>
      </c>
      <c r="B920">
        <v>71717</v>
      </c>
      <c r="C920">
        <v>19</v>
      </c>
      <c r="D920">
        <v>1</v>
      </c>
      <c r="E920" s="7" t="s">
        <v>112</v>
      </c>
      <c r="F920">
        <v>32</v>
      </c>
    </row>
    <row r="921" spans="1:6" x14ac:dyDescent="0.2">
      <c r="A921" t="s">
        <v>120</v>
      </c>
      <c r="B921">
        <v>71717</v>
      </c>
      <c r="C921">
        <v>20</v>
      </c>
      <c r="D921">
        <v>1</v>
      </c>
      <c r="E921" s="7" t="s">
        <v>112</v>
      </c>
      <c r="F921" s="7" t="s">
        <v>115</v>
      </c>
    </row>
    <row r="922" spans="1:6" x14ac:dyDescent="0.2">
      <c r="A922" t="s">
        <v>120</v>
      </c>
      <c r="B922">
        <v>71717</v>
      </c>
      <c r="C922">
        <v>21</v>
      </c>
      <c r="D922">
        <v>1</v>
      </c>
      <c r="E922" s="7" t="s">
        <v>112</v>
      </c>
      <c r="F922" s="7">
        <v>45</v>
      </c>
    </row>
    <row r="923" spans="1:6" x14ac:dyDescent="0.2">
      <c r="A923" t="s">
        <v>120</v>
      </c>
      <c r="B923">
        <v>71717</v>
      </c>
      <c r="C923">
        <v>22</v>
      </c>
      <c r="D923">
        <v>1</v>
      </c>
      <c r="E923" s="7" t="s">
        <v>112</v>
      </c>
      <c r="F923" s="7" t="s">
        <v>115</v>
      </c>
    </row>
    <row r="924" spans="1:6" x14ac:dyDescent="0.2">
      <c r="A924" t="s">
        <v>120</v>
      </c>
      <c r="B924">
        <v>71717</v>
      </c>
      <c r="C924">
        <v>23</v>
      </c>
      <c r="D924">
        <v>1</v>
      </c>
      <c r="E924" s="7" t="s">
        <v>133</v>
      </c>
      <c r="F924" s="7">
        <v>90</v>
      </c>
    </row>
    <row r="925" spans="1:6" x14ac:dyDescent="0.2">
      <c r="A925" t="s">
        <v>120</v>
      </c>
      <c r="B925">
        <v>71717</v>
      </c>
      <c r="C925">
        <v>24</v>
      </c>
      <c r="D925">
        <v>1</v>
      </c>
      <c r="E925" s="7" t="s">
        <v>133</v>
      </c>
      <c r="F925" s="7" t="s">
        <v>115</v>
      </c>
    </row>
    <row r="926" spans="1:6" x14ac:dyDescent="0.2">
      <c r="A926" t="s">
        <v>120</v>
      </c>
      <c r="B926">
        <v>71717</v>
      </c>
      <c r="C926">
        <v>25</v>
      </c>
      <c r="D926">
        <v>1</v>
      </c>
      <c r="E926" s="7" t="s">
        <v>133</v>
      </c>
      <c r="F926" s="7" t="s">
        <v>115</v>
      </c>
    </row>
    <row r="927" spans="1:6" x14ac:dyDescent="0.2">
      <c r="A927" t="s">
        <v>120</v>
      </c>
      <c r="B927">
        <v>71717</v>
      </c>
      <c r="C927">
        <v>26</v>
      </c>
      <c r="D927">
        <v>2</v>
      </c>
      <c r="E927" s="7" t="s">
        <v>133</v>
      </c>
      <c r="F927" s="7" t="s">
        <v>115</v>
      </c>
    </row>
    <row r="928" spans="1:6" x14ac:dyDescent="0.2">
      <c r="A928" t="s">
        <v>120</v>
      </c>
      <c r="B928">
        <v>71717</v>
      </c>
      <c r="C928">
        <v>27</v>
      </c>
      <c r="D928">
        <v>2</v>
      </c>
      <c r="E928" s="7" t="s">
        <v>133</v>
      </c>
      <c r="F928">
        <v>180</v>
      </c>
    </row>
    <row r="929" spans="1:6" x14ac:dyDescent="0.2">
      <c r="A929" t="s">
        <v>120</v>
      </c>
      <c r="B929">
        <v>71717</v>
      </c>
      <c r="C929">
        <v>28</v>
      </c>
      <c r="D929">
        <v>2</v>
      </c>
      <c r="E929" s="7" t="s">
        <v>133</v>
      </c>
      <c r="F929" s="7" t="s">
        <v>115</v>
      </c>
    </row>
    <row r="930" spans="1:6" x14ac:dyDescent="0.2">
      <c r="A930" t="s">
        <v>120</v>
      </c>
      <c r="B930">
        <v>71717</v>
      </c>
      <c r="C930">
        <v>29</v>
      </c>
      <c r="D930">
        <v>2</v>
      </c>
      <c r="E930" s="7" t="s">
        <v>112</v>
      </c>
      <c r="F930" s="7" t="s">
        <v>115</v>
      </c>
    </row>
    <row r="931" spans="1:6" x14ac:dyDescent="0.2">
      <c r="A931" t="s">
        <v>120</v>
      </c>
      <c r="B931">
        <v>71717</v>
      </c>
      <c r="C931">
        <v>30</v>
      </c>
      <c r="D931">
        <v>2</v>
      </c>
      <c r="E931" s="7" t="s">
        <v>112</v>
      </c>
      <c r="F931">
        <v>2</v>
      </c>
    </row>
    <row r="932" spans="1:6" x14ac:dyDescent="0.2">
      <c r="A932" t="s">
        <v>120</v>
      </c>
      <c r="B932">
        <v>71717</v>
      </c>
      <c r="C932">
        <v>31</v>
      </c>
      <c r="D932">
        <v>2</v>
      </c>
      <c r="E932" s="7" t="s">
        <v>112</v>
      </c>
      <c r="F932" s="7" t="s">
        <v>115</v>
      </c>
    </row>
    <row r="933" spans="1:6" x14ac:dyDescent="0.2">
      <c r="A933" t="s">
        <v>120</v>
      </c>
      <c r="B933">
        <v>71717</v>
      </c>
      <c r="C933">
        <v>32</v>
      </c>
      <c r="D933">
        <v>2</v>
      </c>
      <c r="E933" s="7" t="s">
        <v>133</v>
      </c>
      <c r="F933" s="7" t="s">
        <v>115</v>
      </c>
    </row>
    <row r="934" spans="1:6" x14ac:dyDescent="0.2">
      <c r="A934" t="s">
        <v>120</v>
      </c>
      <c r="B934">
        <v>71717</v>
      </c>
      <c r="C934">
        <v>33</v>
      </c>
      <c r="D934">
        <v>2</v>
      </c>
      <c r="E934" s="7" t="s">
        <v>133</v>
      </c>
      <c r="F934" s="7" t="s">
        <v>115</v>
      </c>
    </row>
    <row r="935" spans="1:6" x14ac:dyDescent="0.2">
      <c r="A935" t="s">
        <v>120</v>
      </c>
      <c r="B935">
        <v>71717</v>
      </c>
      <c r="C935">
        <v>34</v>
      </c>
      <c r="D935">
        <v>2</v>
      </c>
      <c r="E935" s="7" t="s">
        <v>133</v>
      </c>
      <c r="F935">
        <v>22.6</v>
      </c>
    </row>
    <row r="936" spans="1:6" x14ac:dyDescent="0.2">
      <c r="A936" t="s">
        <v>120</v>
      </c>
      <c r="B936">
        <v>71717</v>
      </c>
      <c r="C936">
        <v>35</v>
      </c>
      <c r="D936">
        <v>2</v>
      </c>
      <c r="E936" s="7" t="s">
        <v>133</v>
      </c>
      <c r="F936" s="7" t="s">
        <v>115</v>
      </c>
    </row>
    <row r="937" spans="1:6" x14ac:dyDescent="0.2">
      <c r="A937" t="s">
        <v>120</v>
      </c>
      <c r="B937">
        <v>71717</v>
      </c>
      <c r="C937">
        <v>36</v>
      </c>
      <c r="D937">
        <v>2</v>
      </c>
      <c r="E937" s="7" t="s">
        <v>133</v>
      </c>
      <c r="F937" s="7" t="s">
        <v>115</v>
      </c>
    </row>
    <row r="938" spans="1:6" x14ac:dyDescent="0.2">
      <c r="A938" t="s">
        <v>120</v>
      </c>
      <c r="B938">
        <v>71717</v>
      </c>
      <c r="C938">
        <v>37</v>
      </c>
      <c r="D938">
        <v>2</v>
      </c>
      <c r="E938" s="7" t="s">
        <v>133</v>
      </c>
      <c r="F938" s="7" t="s">
        <v>115</v>
      </c>
    </row>
    <row r="939" spans="1:6" x14ac:dyDescent="0.2">
      <c r="A939" t="s">
        <v>120</v>
      </c>
      <c r="B939">
        <v>71717</v>
      </c>
      <c r="C939">
        <v>38</v>
      </c>
      <c r="D939">
        <v>2</v>
      </c>
      <c r="E939" s="7" t="s">
        <v>133</v>
      </c>
      <c r="F939" s="7" t="s">
        <v>115</v>
      </c>
    </row>
    <row r="940" spans="1:6" x14ac:dyDescent="0.2">
      <c r="A940" t="s">
        <v>120</v>
      </c>
      <c r="B940">
        <v>71717</v>
      </c>
      <c r="C940">
        <v>39</v>
      </c>
      <c r="D940">
        <v>2</v>
      </c>
      <c r="E940" s="7" t="s">
        <v>133</v>
      </c>
      <c r="F940" s="7" t="s">
        <v>115</v>
      </c>
    </row>
    <row r="941" spans="1:6" x14ac:dyDescent="0.2">
      <c r="A941" t="s">
        <v>120</v>
      </c>
      <c r="B941">
        <v>71717</v>
      </c>
      <c r="C941">
        <v>40</v>
      </c>
      <c r="D941">
        <v>2</v>
      </c>
      <c r="E941" s="7" t="s">
        <v>133</v>
      </c>
      <c r="F941">
        <v>90</v>
      </c>
    </row>
    <row r="942" spans="1:6" x14ac:dyDescent="0.2">
      <c r="A942" t="s">
        <v>120</v>
      </c>
      <c r="B942">
        <v>71717</v>
      </c>
      <c r="C942">
        <v>41</v>
      </c>
      <c r="D942">
        <v>2</v>
      </c>
      <c r="E942" s="7" t="s">
        <v>133</v>
      </c>
      <c r="F942">
        <v>90</v>
      </c>
    </row>
    <row r="943" spans="1:6" x14ac:dyDescent="0.2">
      <c r="A943" t="s">
        <v>120</v>
      </c>
      <c r="B943">
        <v>71717</v>
      </c>
      <c r="C943">
        <v>42</v>
      </c>
      <c r="D943">
        <v>2</v>
      </c>
      <c r="E943" s="7" t="s">
        <v>133</v>
      </c>
      <c r="F943">
        <v>45</v>
      </c>
    </row>
    <row r="944" spans="1:6" x14ac:dyDescent="0.2">
      <c r="A944" t="s">
        <v>120</v>
      </c>
      <c r="B944">
        <v>71717</v>
      </c>
      <c r="C944">
        <v>43</v>
      </c>
      <c r="D944">
        <v>2</v>
      </c>
      <c r="E944" s="7" t="s">
        <v>133</v>
      </c>
      <c r="F944">
        <v>22.6</v>
      </c>
    </row>
    <row r="945" spans="1:6" x14ac:dyDescent="0.2">
      <c r="A945" t="s">
        <v>120</v>
      </c>
      <c r="B945">
        <v>71717</v>
      </c>
      <c r="C945">
        <v>44</v>
      </c>
      <c r="D945">
        <v>2</v>
      </c>
      <c r="E945" s="7" t="s">
        <v>133</v>
      </c>
      <c r="F945">
        <v>64</v>
      </c>
    </row>
    <row r="946" spans="1:6" x14ac:dyDescent="0.2">
      <c r="A946" t="s">
        <v>120</v>
      </c>
      <c r="B946">
        <v>71717</v>
      </c>
      <c r="C946">
        <v>45</v>
      </c>
      <c r="D946">
        <v>2</v>
      </c>
      <c r="E946" s="7" t="s">
        <v>133</v>
      </c>
      <c r="F946">
        <v>128</v>
      </c>
    </row>
    <row r="947" spans="1:6" x14ac:dyDescent="0.2">
      <c r="A947" t="s">
        <v>120</v>
      </c>
      <c r="B947">
        <v>71717</v>
      </c>
      <c r="C947">
        <v>46</v>
      </c>
      <c r="D947">
        <v>2</v>
      </c>
      <c r="E947" s="7" t="s">
        <v>133</v>
      </c>
      <c r="F947">
        <v>8</v>
      </c>
    </row>
    <row r="948" spans="1:6" x14ac:dyDescent="0.2">
      <c r="A948" t="s">
        <v>120</v>
      </c>
      <c r="B948">
        <v>71717</v>
      </c>
      <c r="C948">
        <v>47</v>
      </c>
      <c r="D948">
        <v>2</v>
      </c>
      <c r="E948" s="7" t="s">
        <v>133</v>
      </c>
      <c r="F948">
        <v>180</v>
      </c>
    </row>
    <row r="949" spans="1:6" x14ac:dyDescent="0.2">
      <c r="A949" t="s">
        <v>120</v>
      </c>
      <c r="B949">
        <v>71717</v>
      </c>
      <c r="C949">
        <v>48</v>
      </c>
      <c r="D949">
        <v>2</v>
      </c>
      <c r="E949" s="7" t="s">
        <v>133</v>
      </c>
      <c r="F949" s="7" t="s">
        <v>115</v>
      </c>
    </row>
    <row r="950" spans="1:6" x14ac:dyDescent="0.2">
      <c r="A950" t="s">
        <v>120</v>
      </c>
      <c r="B950">
        <v>71717</v>
      </c>
      <c r="C950">
        <v>49</v>
      </c>
      <c r="D950">
        <v>3</v>
      </c>
      <c r="E950" s="7" t="s">
        <v>133</v>
      </c>
      <c r="F950" s="7">
        <v>16</v>
      </c>
    </row>
    <row r="951" spans="1:6" x14ac:dyDescent="0.2">
      <c r="A951" t="s">
        <v>120</v>
      </c>
      <c r="B951">
        <v>71717</v>
      </c>
      <c r="C951">
        <v>50</v>
      </c>
      <c r="D951">
        <v>3</v>
      </c>
      <c r="E951" s="7" t="s">
        <v>133</v>
      </c>
      <c r="F951" s="7">
        <v>64</v>
      </c>
    </row>
    <row r="952" spans="1:6" x14ac:dyDescent="0.2">
      <c r="A952" t="s">
        <v>120</v>
      </c>
      <c r="B952">
        <v>71717</v>
      </c>
      <c r="C952">
        <v>51</v>
      </c>
      <c r="D952">
        <v>3</v>
      </c>
      <c r="E952" s="7" t="s">
        <v>133</v>
      </c>
      <c r="F952" s="7">
        <v>64</v>
      </c>
    </row>
    <row r="953" spans="1:6" x14ac:dyDescent="0.2">
      <c r="A953" t="s">
        <v>120</v>
      </c>
      <c r="B953">
        <v>71717</v>
      </c>
      <c r="C953">
        <v>52</v>
      </c>
      <c r="D953">
        <v>3</v>
      </c>
      <c r="E953" s="7" t="s">
        <v>133</v>
      </c>
      <c r="F953" s="7">
        <v>64</v>
      </c>
    </row>
    <row r="954" spans="1:6" x14ac:dyDescent="0.2">
      <c r="A954" t="s">
        <v>120</v>
      </c>
      <c r="B954">
        <v>71717</v>
      </c>
      <c r="C954">
        <v>53</v>
      </c>
      <c r="D954">
        <v>3</v>
      </c>
      <c r="E954" s="7" t="s">
        <v>133</v>
      </c>
      <c r="F954" s="7">
        <v>64</v>
      </c>
    </row>
    <row r="955" spans="1:6" x14ac:dyDescent="0.2">
      <c r="A955" t="s">
        <v>120</v>
      </c>
      <c r="B955">
        <v>71717</v>
      </c>
      <c r="C955">
        <v>54</v>
      </c>
      <c r="D955">
        <v>3</v>
      </c>
      <c r="E955" s="7" t="s">
        <v>133</v>
      </c>
      <c r="F955" s="7" t="s">
        <v>115</v>
      </c>
    </row>
    <row r="956" spans="1:6" x14ac:dyDescent="0.2">
      <c r="A956" t="s">
        <v>120</v>
      </c>
      <c r="B956">
        <v>71717</v>
      </c>
      <c r="C956">
        <v>55</v>
      </c>
      <c r="D956">
        <v>3</v>
      </c>
      <c r="E956" s="7" t="s">
        <v>133</v>
      </c>
      <c r="F956" s="7" t="s">
        <v>115</v>
      </c>
    </row>
    <row r="957" spans="1:6" x14ac:dyDescent="0.2">
      <c r="A957" t="s">
        <v>120</v>
      </c>
      <c r="B957">
        <v>71717</v>
      </c>
      <c r="C957">
        <v>56</v>
      </c>
      <c r="D957">
        <v>3</v>
      </c>
      <c r="E957" s="7" t="s">
        <v>133</v>
      </c>
      <c r="F957" s="7" t="s">
        <v>115</v>
      </c>
    </row>
    <row r="958" spans="1:6" x14ac:dyDescent="0.2">
      <c r="A958" t="s">
        <v>120</v>
      </c>
      <c r="B958">
        <v>71717</v>
      </c>
      <c r="C958">
        <v>57</v>
      </c>
      <c r="D958">
        <v>3</v>
      </c>
      <c r="E958" s="7" t="s">
        <v>133</v>
      </c>
      <c r="F958" s="7" t="s">
        <v>115</v>
      </c>
    </row>
    <row r="959" spans="1:6" x14ac:dyDescent="0.2">
      <c r="A959" t="s">
        <v>120</v>
      </c>
      <c r="B959">
        <v>71717</v>
      </c>
      <c r="C959">
        <v>58</v>
      </c>
      <c r="D959">
        <v>3</v>
      </c>
      <c r="E959" s="7" t="s">
        <v>133</v>
      </c>
      <c r="F959">
        <v>45</v>
      </c>
    </row>
    <row r="960" spans="1:6" x14ac:dyDescent="0.2">
      <c r="A960" t="s">
        <v>120</v>
      </c>
      <c r="B960">
        <v>71717</v>
      </c>
      <c r="C960">
        <v>59</v>
      </c>
      <c r="D960">
        <v>3</v>
      </c>
      <c r="E960" s="7" t="s">
        <v>133</v>
      </c>
      <c r="F960">
        <v>64</v>
      </c>
    </row>
    <row r="961" spans="1:6" x14ac:dyDescent="0.2">
      <c r="A961" t="s">
        <v>120</v>
      </c>
      <c r="B961">
        <v>71717</v>
      </c>
      <c r="C961">
        <v>60</v>
      </c>
      <c r="D961">
        <v>3</v>
      </c>
      <c r="E961" s="7" t="s">
        <v>133</v>
      </c>
      <c r="F961">
        <v>90</v>
      </c>
    </row>
    <row r="962" spans="1:6" x14ac:dyDescent="0.2">
      <c r="A962" t="s">
        <v>120</v>
      </c>
      <c r="B962">
        <v>71717</v>
      </c>
      <c r="C962">
        <v>61</v>
      </c>
      <c r="D962">
        <v>3</v>
      </c>
      <c r="E962" s="7" t="s">
        <v>133</v>
      </c>
      <c r="F962" s="7" t="s">
        <v>115</v>
      </c>
    </row>
    <row r="963" spans="1:6" x14ac:dyDescent="0.2">
      <c r="A963" t="s">
        <v>120</v>
      </c>
      <c r="B963">
        <v>71717</v>
      </c>
      <c r="C963">
        <v>62</v>
      </c>
      <c r="D963">
        <v>3</v>
      </c>
      <c r="F963" s="7" t="s">
        <v>115</v>
      </c>
    </row>
    <row r="964" spans="1:6" x14ac:dyDescent="0.2">
      <c r="A964" t="s">
        <v>120</v>
      </c>
      <c r="B964">
        <v>71717</v>
      </c>
      <c r="C964">
        <v>63</v>
      </c>
      <c r="D964">
        <v>3</v>
      </c>
      <c r="E964" s="7" t="s">
        <v>133</v>
      </c>
      <c r="F964" s="7" t="s">
        <v>115</v>
      </c>
    </row>
    <row r="965" spans="1:6" x14ac:dyDescent="0.2">
      <c r="A965" t="s">
        <v>120</v>
      </c>
      <c r="B965">
        <v>71717</v>
      </c>
      <c r="C965">
        <v>64</v>
      </c>
      <c r="D965">
        <v>3</v>
      </c>
      <c r="E965" s="7" t="s">
        <v>112</v>
      </c>
      <c r="F965">
        <v>5.6</v>
      </c>
    </row>
    <row r="966" spans="1:6" x14ac:dyDescent="0.2">
      <c r="A966" t="s">
        <v>120</v>
      </c>
      <c r="B966">
        <v>71717</v>
      </c>
      <c r="C966">
        <v>65</v>
      </c>
      <c r="D966">
        <v>3</v>
      </c>
      <c r="E966" s="7" t="s">
        <v>112</v>
      </c>
      <c r="F966" s="7" t="s">
        <v>115</v>
      </c>
    </row>
    <row r="967" spans="1:6" x14ac:dyDescent="0.2">
      <c r="A967" t="s">
        <v>120</v>
      </c>
      <c r="B967">
        <v>71717</v>
      </c>
      <c r="C967">
        <v>66</v>
      </c>
      <c r="D967">
        <v>3</v>
      </c>
      <c r="E967" s="7" t="s">
        <v>112</v>
      </c>
      <c r="F967">
        <v>180</v>
      </c>
    </row>
    <row r="968" spans="1:6" x14ac:dyDescent="0.2">
      <c r="A968" t="s">
        <v>120</v>
      </c>
      <c r="B968">
        <v>71717</v>
      </c>
      <c r="C968">
        <v>67</v>
      </c>
      <c r="D968">
        <v>3</v>
      </c>
      <c r="E968" s="7" t="s">
        <v>112</v>
      </c>
      <c r="F968" s="7" t="s">
        <v>115</v>
      </c>
    </row>
    <row r="969" spans="1:6" x14ac:dyDescent="0.2">
      <c r="A969" t="s">
        <v>120</v>
      </c>
      <c r="B969">
        <v>71717</v>
      </c>
      <c r="C969">
        <v>68</v>
      </c>
      <c r="D969">
        <v>3</v>
      </c>
      <c r="E969" s="7" t="s">
        <v>112</v>
      </c>
      <c r="F969" s="7" t="s">
        <v>115</v>
      </c>
    </row>
    <row r="970" spans="1:6" x14ac:dyDescent="0.2">
      <c r="A970" t="s">
        <v>120</v>
      </c>
      <c r="B970">
        <v>71717</v>
      </c>
      <c r="C970">
        <v>69</v>
      </c>
      <c r="D970">
        <v>3</v>
      </c>
      <c r="E970" s="7" t="s">
        <v>112</v>
      </c>
      <c r="F970" s="7" t="s">
        <v>115</v>
      </c>
    </row>
    <row r="971" spans="1:6" x14ac:dyDescent="0.2">
      <c r="A971" t="s">
        <v>120</v>
      </c>
      <c r="B971">
        <v>71717</v>
      </c>
      <c r="C971">
        <v>70</v>
      </c>
      <c r="D971">
        <v>3</v>
      </c>
      <c r="E971" s="7" t="s">
        <v>112</v>
      </c>
      <c r="F971" s="7" t="s">
        <v>115</v>
      </c>
    </row>
    <row r="972" spans="1:6" x14ac:dyDescent="0.2">
      <c r="A972" t="s">
        <v>120</v>
      </c>
      <c r="B972">
        <v>71717</v>
      </c>
      <c r="C972">
        <v>71</v>
      </c>
      <c r="D972">
        <v>3</v>
      </c>
      <c r="E972" s="7" t="s">
        <v>112</v>
      </c>
      <c r="F972" s="7" t="s">
        <v>115</v>
      </c>
    </row>
    <row r="973" spans="1:6" x14ac:dyDescent="0.2">
      <c r="A973" t="s">
        <v>120</v>
      </c>
      <c r="B973">
        <v>71717</v>
      </c>
      <c r="C973">
        <v>72</v>
      </c>
      <c r="D973">
        <v>4</v>
      </c>
      <c r="E973" s="7" t="s">
        <v>133</v>
      </c>
      <c r="F973" s="7" t="s">
        <v>115</v>
      </c>
    </row>
    <row r="974" spans="1:6" x14ac:dyDescent="0.2">
      <c r="A974" t="s">
        <v>120</v>
      </c>
      <c r="B974">
        <v>71717</v>
      </c>
      <c r="C974">
        <v>73</v>
      </c>
      <c r="D974">
        <v>4</v>
      </c>
      <c r="E974" s="7" t="s">
        <v>133</v>
      </c>
      <c r="F974" s="7" t="s">
        <v>115</v>
      </c>
    </row>
    <row r="975" spans="1:6" x14ac:dyDescent="0.2">
      <c r="A975" t="s">
        <v>120</v>
      </c>
      <c r="B975">
        <v>71717</v>
      </c>
      <c r="C975">
        <v>74</v>
      </c>
      <c r="D975">
        <v>4</v>
      </c>
      <c r="E975" s="7" t="s">
        <v>133</v>
      </c>
      <c r="F975">
        <v>128</v>
      </c>
    </row>
    <row r="976" spans="1:6" x14ac:dyDescent="0.2">
      <c r="A976" t="s">
        <v>120</v>
      </c>
      <c r="B976">
        <v>71717</v>
      </c>
      <c r="C976">
        <v>75</v>
      </c>
      <c r="D976">
        <v>4</v>
      </c>
      <c r="E976" s="7" t="s">
        <v>112</v>
      </c>
      <c r="F976">
        <v>180</v>
      </c>
    </row>
    <row r="977" spans="1:6" x14ac:dyDescent="0.2">
      <c r="A977" t="s">
        <v>120</v>
      </c>
      <c r="B977">
        <v>71717</v>
      </c>
      <c r="C977">
        <v>76</v>
      </c>
      <c r="D977">
        <v>4</v>
      </c>
      <c r="E977" s="7" t="s">
        <v>112</v>
      </c>
      <c r="F977" s="7" t="s">
        <v>115</v>
      </c>
    </row>
    <row r="978" spans="1:6" x14ac:dyDescent="0.2">
      <c r="A978" t="s">
        <v>120</v>
      </c>
      <c r="B978">
        <v>71717</v>
      </c>
      <c r="C978">
        <v>77</v>
      </c>
      <c r="D978">
        <v>4</v>
      </c>
      <c r="E978" s="7" t="s">
        <v>112</v>
      </c>
      <c r="F978">
        <v>45</v>
      </c>
    </row>
    <row r="979" spans="1:6" x14ac:dyDescent="0.2">
      <c r="A979" t="s">
        <v>120</v>
      </c>
      <c r="B979">
        <v>71717</v>
      </c>
      <c r="C979">
        <v>78</v>
      </c>
      <c r="D979">
        <v>4</v>
      </c>
      <c r="E979" s="7" t="s">
        <v>112</v>
      </c>
      <c r="F979">
        <v>64</v>
      </c>
    </row>
    <row r="980" spans="1:6" x14ac:dyDescent="0.2">
      <c r="A980" t="s">
        <v>120</v>
      </c>
      <c r="B980">
        <v>71717</v>
      </c>
      <c r="C980">
        <v>79</v>
      </c>
      <c r="D980">
        <v>4</v>
      </c>
      <c r="E980" s="7" t="s">
        <v>112</v>
      </c>
      <c r="F980" s="7" t="s">
        <v>115</v>
      </c>
    </row>
    <row r="981" spans="1:6" x14ac:dyDescent="0.2">
      <c r="A981" t="s">
        <v>120</v>
      </c>
      <c r="B981">
        <v>71717</v>
      </c>
      <c r="C981">
        <v>80</v>
      </c>
      <c r="D981">
        <v>4</v>
      </c>
      <c r="E981" s="7" t="s">
        <v>133</v>
      </c>
      <c r="F981" s="7">
        <v>180</v>
      </c>
    </row>
    <row r="982" spans="1:6" x14ac:dyDescent="0.2">
      <c r="A982" t="s">
        <v>120</v>
      </c>
      <c r="B982">
        <v>71717</v>
      </c>
      <c r="C982">
        <v>81</v>
      </c>
      <c r="D982">
        <v>4</v>
      </c>
      <c r="E982" s="7" t="s">
        <v>133</v>
      </c>
      <c r="F982" s="7">
        <v>22.6</v>
      </c>
    </row>
    <row r="983" spans="1:6" x14ac:dyDescent="0.2">
      <c r="A983" t="s">
        <v>120</v>
      </c>
      <c r="B983">
        <v>71717</v>
      </c>
      <c r="C983">
        <v>82</v>
      </c>
      <c r="D983">
        <v>4</v>
      </c>
      <c r="E983" s="7" t="s">
        <v>133</v>
      </c>
      <c r="F983" s="7" t="s">
        <v>115</v>
      </c>
    </row>
    <row r="984" spans="1:6" x14ac:dyDescent="0.2">
      <c r="A984" t="s">
        <v>120</v>
      </c>
      <c r="B984">
        <v>71717</v>
      </c>
      <c r="C984">
        <v>83</v>
      </c>
      <c r="D984">
        <v>4</v>
      </c>
      <c r="E984" s="7" t="s">
        <v>133</v>
      </c>
      <c r="F984" s="7" t="s">
        <v>115</v>
      </c>
    </row>
    <row r="985" spans="1:6" x14ac:dyDescent="0.2">
      <c r="A985" t="s">
        <v>120</v>
      </c>
      <c r="B985">
        <v>71717</v>
      </c>
      <c r="C985">
        <v>84</v>
      </c>
      <c r="D985">
        <v>4</v>
      </c>
      <c r="E985" s="7" t="s">
        <v>133</v>
      </c>
      <c r="F985">
        <v>11</v>
      </c>
    </row>
    <row r="986" spans="1:6" x14ac:dyDescent="0.2">
      <c r="A986" t="s">
        <v>120</v>
      </c>
      <c r="B986">
        <v>71717</v>
      </c>
      <c r="C986">
        <v>85</v>
      </c>
      <c r="D986">
        <v>4</v>
      </c>
      <c r="E986" s="7" t="s">
        <v>133</v>
      </c>
      <c r="F986">
        <v>22</v>
      </c>
    </row>
    <row r="987" spans="1:6" x14ac:dyDescent="0.2">
      <c r="A987" t="s">
        <v>120</v>
      </c>
      <c r="B987">
        <v>71717</v>
      </c>
      <c r="C987">
        <v>86</v>
      </c>
      <c r="D987">
        <v>4</v>
      </c>
      <c r="E987" s="7" t="s">
        <v>133</v>
      </c>
      <c r="F987">
        <v>128</v>
      </c>
    </row>
    <row r="988" spans="1:6" x14ac:dyDescent="0.2">
      <c r="A988" t="s">
        <v>120</v>
      </c>
      <c r="B988">
        <v>71717</v>
      </c>
      <c r="C988">
        <v>87</v>
      </c>
      <c r="D988">
        <v>4</v>
      </c>
      <c r="E988" s="7" t="s">
        <v>133</v>
      </c>
      <c r="F988" s="7" t="s">
        <v>115</v>
      </c>
    </row>
    <row r="989" spans="1:6" x14ac:dyDescent="0.2">
      <c r="A989" t="s">
        <v>120</v>
      </c>
      <c r="B989">
        <v>71717</v>
      </c>
      <c r="C989">
        <v>88</v>
      </c>
      <c r="D989">
        <v>4</v>
      </c>
      <c r="E989" s="7" t="s">
        <v>133</v>
      </c>
      <c r="F989" s="7" t="s">
        <v>115</v>
      </c>
    </row>
    <row r="990" spans="1:6" x14ac:dyDescent="0.2">
      <c r="A990" t="s">
        <v>120</v>
      </c>
      <c r="B990">
        <v>71717</v>
      </c>
      <c r="C990">
        <v>89</v>
      </c>
      <c r="D990">
        <v>4</v>
      </c>
      <c r="E990" s="7" t="s">
        <v>133</v>
      </c>
      <c r="F990" s="7" t="s">
        <v>115</v>
      </c>
    </row>
    <row r="991" spans="1:6" x14ac:dyDescent="0.2">
      <c r="A991" t="s">
        <v>120</v>
      </c>
      <c r="B991">
        <v>71717</v>
      </c>
      <c r="C991">
        <v>90</v>
      </c>
      <c r="D991">
        <v>4</v>
      </c>
      <c r="E991" s="7" t="s">
        <v>133</v>
      </c>
      <c r="F991">
        <v>64</v>
      </c>
    </row>
    <row r="992" spans="1:6" x14ac:dyDescent="0.2">
      <c r="A992" t="s">
        <v>120</v>
      </c>
      <c r="B992">
        <v>71717</v>
      </c>
      <c r="C992">
        <v>91</v>
      </c>
      <c r="D992">
        <v>5</v>
      </c>
      <c r="E992" s="7" t="s">
        <v>133</v>
      </c>
      <c r="F992">
        <v>90</v>
      </c>
    </row>
    <row r="993" spans="1:7" x14ac:dyDescent="0.2">
      <c r="A993" t="s">
        <v>120</v>
      </c>
      <c r="B993">
        <v>71717</v>
      </c>
      <c r="C993">
        <v>92</v>
      </c>
      <c r="D993">
        <v>5</v>
      </c>
      <c r="E993" s="7" t="s">
        <v>133</v>
      </c>
      <c r="F993">
        <v>128</v>
      </c>
    </row>
    <row r="994" spans="1:7" x14ac:dyDescent="0.2">
      <c r="A994" t="s">
        <v>120</v>
      </c>
      <c r="B994">
        <v>71717</v>
      </c>
      <c r="C994">
        <v>93</v>
      </c>
      <c r="D994">
        <v>5</v>
      </c>
      <c r="E994" s="7" t="s">
        <v>133</v>
      </c>
      <c r="F994">
        <v>11</v>
      </c>
    </row>
    <row r="995" spans="1:7" x14ac:dyDescent="0.2">
      <c r="A995" t="s">
        <v>120</v>
      </c>
      <c r="B995">
        <v>71717</v>
      </c>
      <c r="C995">
        <v>94</v>
      </c>
      <c r="D995">
        <v>5</v>
      </c>
      <c r="E995" s="7" t="s">
        <v>133</v>
      </c>
      <c r="F995">
        <v>45</v>
      </c>
    </row>
    <row r="996" spans="1:7" x14ac:dyDescent="0.2">
      <c r="A996" t="s">
        <v>120</v>
      </c>
      <c r="B996">
        <v>71717</v>
      </c>
      <c r="C996">
        <v>95</v>
      </c>
      <c r="D996">
        <v>5</v>
      </c>
      <c r="E996" s="7" t="s">
        <v>133</v>
      </c>
      <c r="F996">
        <v>4</v>
      </c>
    </row>
    <row r="997" spans="1:7" x14ac:dyDescent="0.2">
      <c r="A997" t="s">
        <v>120</v>
      </c>
      <c r="B997">
        <v>71717</v>
      </c>
      <c r="C997">
        <v>96</v>
      </c>
      <c r="D997">
        <v>5</v>
      </c>
      <c r="E997" s="7" t="s">
        <v>133</v>
      </c>
      <c r="F997" s="7" t="s">
        <v>115</v>
      </c>
    </row>
    <row r="998" spans="1:7" x14ac:dyDescent="0.2">
      <c r="A998" t="s">
        <v>120</v>
      </c>
      <c r="B998">
        <v>71717</v>
      </c>
      <c r="C998">
        <v>97</v>
      </c>
      <c r="D998">
        <v>5</v>
      </c>
      <c r="E998" s="7" t="s">
        <v>133</v>
      </c>
      <c r="F998" s="7">
        <v>32</v>
      </c>
    </row>
    <row r="999" spans="1:7" x14ac:dyDescent="0.2">
      <c r="A999" t="s">
        <v>120</v>
      </c>
      <c r="B999">
        <v>71717</v>
      </c>
      <c r="C999">
        <v>98</v>
      </c>
      <c r="D999">
        <v>5</v>
      </c>
      <c r="E999" s="7" t="s">
        <v>112</v>
      </c>
      <c r="F999" s="7" t="s">
        <v>115</v>
      </c>
    </row>
    <row r="1000" spans="1:7" x14ac:dyDescent="0.2">
      <c r="A1000" t="s">
        <v>120</v>
      </c>
      <c r="B1000">
        <v>71717</v>
      </c>
      <c r="C1000">
        <v>99</v>
      </c>
      <c r="D1000">
        <v>5</v>
      </c>
      <c r="E1000" s="7" t="s">
        <v>112</v>
      </c>
      <c r="F1000" s="7" t="s">
        <v>115</v>
      </c>
    </row>
    <row r="1001" spans="1:7" x14ac:dyDescent="0.2">
      <c r="A1001" t="s">
        <v>120</v>
      </c>
      <c r="B1001">
        <v>71717</v>
      </c>
      <c r="C1001">
        <v>100</v>
      </c>
      <c r="D1001" s="7" t="s">
        <v>26</v>
      </c>
      <c r="E1001" s="7" t="s">
        <v>26</v>
      </c>
      <c r="F1001" s="7" t="s">
        <v>26</v>
      </c>
    </row>
    <row r="1002" spans="1:7" x14ac:dyDescent="0.2">
      <c r="A1002" s="8" t="s">
        <v>167</v>
      </c>
      <c r="B1002">
        <v>72017</v>
      </c>
      <c r="C1002">
        <v>1</v>
      </c>
      <c r="D1002" s="7">
        <v>1</v>
      </c>
      <c r="E1002" s="7" t="s">
        <v>125</v>
      </c>
      <c r="F1002" s="7">
        <v>45</v>
      </c>
      <c r="G1002" s="7" t="s">
        <v>205</v>
      </c>
    </row>
    <row r="1003" spans="1:7" x14ac:dyDescent="0.2">
      <c r="A1003" s="8" t="s">
        <v>167</v>
      </c>
      <c r="B1003">
        <v>72017</v>
      </c>
      <c r="C1003">
        <v>2</v>
      </c>
      <c r="D1003" s="7">
        <v>1</v>
      </c>
      <c r="E1003" s="7" t="s">
        <v>125</v>
      </c>
      <c r="F1003">
        <v>11</v>
      </c>
    </row>
    <row r="1004" spans="1:7" x14ac:dyDescent="0.2">
      <c r="A1004" s="8" t="s">
        <v>167</v>
      </c>
      <c r="B1004">
        <v>72017</v>
      </c>
      <c r="C1004">
        <v>3</v>
      </c>
      <c r="D1004" s="7">
        <v>1</v>
      </c>
      <c r="E1004" s="7" t="s">
        <v>125</v>
      </c>
      <c r="F1004">
        <v>90</v>
      </c>
    </row>
    <row r="1005" spans="1:7" x14ac:dyDescent="0.2">
      <c r="A1005" s="8" t="s">
        <v>167</v>
      </c>
      <c r="B1005">
        <v>72017</v>
      </c>
      <c r="C1005">
        <v>4</v>
      </c>
      <c r="D1005" s="7">
        <v>1</v>
      </c>
      <c r="E1005" s="7" t="s">
        <v>125</v>
      </c>
      <c r="F1005">
        <v>16</v>
      </c>
    </row>
    <row r="1006" spans="1:7" x14ac:dyDescent="0.2">
      <c r="A1006" s="8" t="s">
        <v>167</v>
      </c>
      <c r="B1006">
        <v>72017</v>
      </c>
      <c r="C1006">
        <v>5</v>
      </c>
      <c r="D1006" s="7">
        <v>1</v>
      </c>
      <c r="E1006" s="7" t="s">
        <v>130</v>
      </c>
      <c r="F1006">
        <v>11</v>
      </c>
    </row>
    <row r="1007" spans="1:7" x14ac:dyDescent="0.2">
      <c r="A1007" s="8" t="s">
        <v>167</v>
      </c>
      <c r="B1007">
        <v>72017</v>
      </c>
      <c r="C1007">
        <v>6</v>
      </c>
      <c r="D1007" s="7">
        <v>1</v>
      </c>
      <c r="E1007" s="7" t="s">
        <v>130</v>
      </c>
      <c r="F1007">
        <v>22.6</v>
      </c>
    </row>
    <row r="1008" spans="1:7" x14ac:dyDescent="0.2">
      <c r="A1008" s="8" t="s">
        <v>167</v>
      </c>
      <c r="B1008">
        <v>72017</v>
      </c>
      <c r="C1008">
        <v>7</v>
      </c>
      <c r="D1008" s="7">
        <v>1</v>
      </c>
      <c r="E1008" s="7" t="s">
        <v>130</v>
      </c>
      <c r="F1008">
        <v>32</v>
      </c>
    </row>
    <row r="1009" spans="1:6" x14ac:dyDescent="0.2">
      <c r="A1009" s="8" t="s">
        <v>167</v>
      </c>
      <c r="B1009">
        <v>72017</v>
      </c>
      <c r="C1009">
        <v>8</v>
      </c>
      <c r="D1009" s="7">
        <v>1</v>
      </c>
      <c r="E1009" s="7" t="s">
        <v>130</v>
      </c>
      <c r="F1009">
        <v>32</v>
      </c>
    </row>
    <row r="1010" spans="1:6" x14ac:dyDescent="0.2">
      <c r="A1010" s="8" t="s">
        <v>167</v>
      </c>
      <c r="B1010">
        <v>72017</v>
      </c>
      <c r="C1010">
        <v>9</v>
      </c>
      <c r="D1010" s="7">
        <v>1</v>
      </c>
      <c r="E1010" s="7" t="s">
        <v>130</v>
      </c>
      <c r="F1010">
        <v>45</v>
      </c>
    </row>
    <row r="1011" spans="1:6" x14ac:dyDescent="0.2">
      <c r="A1011" s="8" t="s">
        <v>167</v>
      </c>
      <c r="B1011">
        <v>72017</v>
      </c>
      <c r="C1011">
        <v>10</v>
      </c>
      <c r="D1011" s="7">
        <v>1</v>
      </c>
      <c r="E1011" s="7" t="s">
        <v>130</v>
      </c>
      <c r="F1011">
        <v>64</v>
      </c>
    </row>
    <row r="1012" spans="1:6" x14ac:dyDescent="0.2">
      <c r="A1012" s="8" t="s">
        <v>167</v>
      </c>
      <c r="B1012">
        <v>72017</v>
      </c>
      <c r="C1012">
        <v>11</v>
      </c>
      <c r="D1012" s="7">
        <v>1</v>
      </c>
      <c r="E1012" s="7" t="s">
        <v>130</v>
      </c>
      <c r="F1012">
        <v>90</v>
      </c>
    </row>
    <row r="1013" spans="1:6" x14ac:dyDescent="0.2">
      <c r="A1013" s="8" t="s">
        <v>167</v>
      </c>
      <c r="B1013">
        <v>72017</v>
      </c>
      <c r="C1013">
        <v>12</v>
      </c>
      <c r="D1013" s="7">
        <v>1</v>
      </c>
      <c r="E1013" s="7" t="s">
        <v>130</v>
      </c>
      <c r="F1013">
        <v>32</v>
      </c>
    </row>
    <row r="1014" spans="1:6" x14ac:dyDescent="0.2">
      <c r="A1014" s="8" t="s">
        <v>167</v>
      </c>
      <c r="B1014">
        <v>72017</v>
      </c>
      <c r="C1014">
        <v>13</v>
      </c>
      <c r="D1014" s="7">
        <v>1</v>
      </c>
      <c r="E1014" s="7" t="s">
        <v>130</v>
      </c>
      <c r="F1014">
        <v>90</v>
      </c>
    </row>
    <row r="1015" spans="1:6" x14ac:dyDescent="0.2">
      <c r="A1015" s="8" t="s">
        <v>167</v>
      </c>
      <c r="B1015">
        <v>72017</v>
      </c>
      <c r="C1015">
        <v>14</v>
      </c>
      <c r="D1015" s="7">
        <v>1</v>
      </c>
      <c r="E1015" s="7" t="s">
        <v>130</v>
      </c>
      <c r="F1015">
        <v>45</v>
      </c>
    </row>
    <row r="1016" spans="1:6" x14ac:dyDescent="0.2">
      <c r="A1016" s="8" t="s">
        <v>167</v>
      </c>
      <c r="B1016">
        <v>72017</v>
      </c>
      <c r="C1016">
        <v>15</v>
      </c>
      <c r="D1016" s="7">
        <v>1</v>
      </c>
      <c r="E1016" s="7" t="s">
        <v>130</v>
      </c>
      <c r="F1016">
        <v>45</v>
      </c>
    </row>
    <row r="1017" spans="1:6" x14ac:dyDescent="0.2">
      <c r="A1017" s="8" t="s">
        <v>167</v>
      </c>
      <c r="B1017">
        <v>72017</v>
      </c>
      <c r="C1017">
        <v>16</v>
      </c>
      <c r="D1017" s="7">
        <v>1</v>
      </c>
      <c r="E1017" s="7" t="s">
        <v>130</v>
      </c>
      <c r="F1017">
        <v>22.6</v>
      </c>
    </row>
    <row r="1018" spans="1:6" x14ac:dyDescent="0.2">
      <c r="A1018" s="8" t="s">
        <v>167</v>
      </c>
      <c r="B1018">
        <v>72017</v>
      </c>
      <c r="C1018">
        <v>17</v>
      </c>
      <c r="D1018" s="7">
        <v>1</v>
      </c>
      <c r="E1018" s="7" t="s">
        <v>130</v>
      </c>
      <c r="F1018">
        <v>64</v>
      </c>
    </row>
    <row r="1019" spans="1:6" x14ac:dyDescent="0.2">
      <c r="A1019" s="8" t="s">
        <v>167</v>
      </c>
      <c r="B1019">
        <v>72017</v>
      </c>
      <c r="C1019">
        <v>18</v>
      </c>
      <c r="D1019" s="7">
        <v>1</v>
      </c>
      <c r="E1019" s="7" t="s">
        <v>130</v>
      </c>
      <c r="F1019">
        <v>32</v>
      </c>
    </row>
    <row r="1020" spans="1:6" x14ac:dyDescent="0.2">
      <c r="A1020" s="8" t="s">
        <v>167</v>
      </c>
      <c r="B1020">
        <v>72017</v>
      </c>
      <c r="C1020">
        <v>19</v>
      </c>
      <c r="D1020" s="7">
        <v>1</v>
      </c>
      <c r="E1020" s="7" t="s">
        <v>130</v>
      </c>
      <c r="F1020">
        <v>128</v>
      </c>
    </row>
    <row r="1021" spans="1:6" x14ac:dyDescent="0.2">
      <c r="A1021" s="8" t="s">
        <v>167</v>
      </c>
      <c r="B1021">
        <v>72017</v>
      </c>
      <c r="C1021">
        <v>20</v>
      </c>
      <c r="D1021" s="7">
        <v>1</v>
      </c>
      <c r="E1021" s="7" t="s">
        <v>130</v>
      </c>
      <c r="F1021">
        <v>128</v>
      </c>
    </row>
    <row r="1022" spans="1:6" x14ac:dyDescent="0.2">
      <c r="A1022" s="8" t="s">
        <v>167</v>
      </c>
      <c r="B1022">
        <v>72017</v>
      </c>
      <c r="C1022">
        <v>21</v>
      </c>
      <c r="D1022" s="7">
        <v>1</v>
      </c>
      <c r="E1022" s="7" t="s">
        <v>130</v>
      </c>
      <c r="F1022">
        <v>45</v>
      </c>
    </row>
    <row r="1023" spans="1:6" x14ac:dyDescent="0.2">
      <c r="A1023" s="8" t="s">
        <v>167</v>
      </c>
      <c r="B1023">
        <v>72017</v>
      </c>
      <c r="C1023">
        <v>22</v>
      </c>
      <c r="D1023" s="7">
        <v>1</v>
      </c>
      <c r="E1023" s="7" t="s">
        <v>130</v>
      </c>
      <c r="F1023">
        <v>128</v>
      </c>
    </row>
    <row r="1024" spans="1:6" x14ac:dyDescent="0.2">
      <c r="A1024" s="8" t="s">
        <v>167</v>
      </c>
      <c r="B1024">
        <v>72017</v>
      </c>
      <c r="C1024">
        <v>23</v>
      </c>
      <c r="D1024" s="7">
        <v>1</v>
      </c>
      <c r="E1024" s="7" t="s">
        <v>199</v>
      </c>
      <c r="F1024">
        <v>90</v>
      </c>
    </row>
    <row r="1025" spans="1:6" x14ac:dyDescent="0.2">
      <c r="A1025" s="8" t="s">
        <v>167</v>
      </c>
      <c r="B1025">
        <v>72017</v>
      </c>
      <c r="C1025">
        <v>24</v>
      </c>
      <c r="D1025" s="7">
        <v>1</v>
      </c>
      <c r="E1025" s="7" t="s">
        <v>199</v>
      </c>
      <c r="F1025">
        <v>45</v>
      </c>
    </row>
    <row r="1026" spans="1:6" x14ac:dyDescent="0.2">
      <c r="A1026" s="8" t="s">
        <v>167</v>
      </c>
      <c r="B1026">
        <v>72017</v>
      </c>
      <c r="C1026">
        <v>25</v>
      </c>
      <c r="D1026">
        <v>2</v>
      </c>
      <c r="E1026" s="7" t="s">
        <v>199</v>
      </c>
      <c r="F1026">
        <v>90</v>
      </c>
    </row>
    <row r="1027" spans="1:6" x14ac:dyDescent="0.2">
      <c r="A1027" s="8" t="s">
        <v>167</v>
      </c>
      <c r="B1027">
        <v>72017</v>
      </c>
      <c r="C1027">
        <v>26</v>
      </c>
      <c r="D1027">
        <v>2</v>
      </c>
      <c r="E1027" s="7" t="s">
        <v>199</v>
      </c>
      <c r="F1027">
        <v>90</v>
      </c>
    </row>
    <row r="1028" spans="1:6" x14ac:dyDescent="0.2">
      <c r="A1028" s="8" t="s">
        <v>167</v>
      </c>
      <c r="B1028">
        <v>72017</v>
      </c>
      <c r="C1028">
        <v>27</v>
      </c>
      <c r="D1028">
        <v>2</v>
      </c>
      <c r="E1028" s="7" t="s">
        <v>130</v>
      </c>
      <c r="F1028">
        <v>180</v>
      </c>
    </row>
    <row r="1029" spans="1:6" x14ac:dyDescent="0.2">
      <c r="A1029" s="8" t="s">
        <v>167</v>
      </c>
      <c r="B1029">
        <v>72017</v>
      </c>
      <c r="C1029">
        <v>28</v>
      </c>
      <c r="D1029">
        <v>2</v>
      </c>
      <c r="E1029" s="7" t="s">
        <v>130</v>
      </c>
      <c r="F1029">
        <v>45</v>
      </c>
    </row>
    <row r="1030" spans="1:6" x14ac:dyDescent="0.2">
      <c r="A1030" s="8" t="s">
        <v>167</v>
      </c>
      <c r="B1030">
        <v>72017</v>
      </c>
      <c r="C1030">
        <v>29</v>
      </c>
      <c r="D1030">
        <v>2</v>
      </c>
      <c r="E1030" s="7" t="s">
        <v>130</v>
      </c>
      <c r="F1030">
        <v>64</v>
      </c>
    </row>
    <row r="1031" spans="1:6" x14ac:dyDescent="0.2">
      <c r="A1031" s="8" t="s">
        <v>167</v>
      </c>
      <c r="B1031">
        <v>72017</v>
      </c>
      <c r="C1031">
        <v>30</v>
      </c>
      <c r="D1031">
        <v>2</v>
      </c>
      <c r="E1031" s="7" t="s">
        <v>130</v>
      </c>
      <c r="F1031">
        <v>16</v>
      </c>
    </row>
    <row r="1032" spans="1:6" x14ac:dyDescent="0.2">
      <c r="A1032" s="8" t="s">
        <v>167</v>
      </c>
      <c r="B1032">
        <v>72017</v>
      </c>
      <c r="C1032">
        <v>31</v>
      </c>
      <c r="D1032">
        <v>2</v>
      </c>
      <c r="E1032" s="7" t="s">
        <v>130</v>
      </c>
      <c r="F1032">
        <v>32</v>
      </c>
    </row>
    <row r="1033" spans="1:6" x14ac:dyDescent="0.2">
      <c r="A1033" s="8" t="s">
        <v>167</v>
      </c>
      <c r="B1033">
        <v>72017</v>
      </c>
      <c r="C1033">
        <v>32</v>
      </c>
      <c r="D1033">
        <v>2</v>
      </c>
      <c r="E1033" s="7" t="s">
        <v>130</v>
      </c>
      <c r="F1033">
        <v>8</v>
      </c>
    </row>
    <row r="1034" spans="1:6" x14ac:dyDescent="0.2">
      <c r="A1034" s="8" t="s">
        <v>167</v>
      </c>
      <c r="B1034">
        <v>72017</v>
      </c>
      <c r="C1034">
        <v>33</v>
      </c>
      <c r="D1034">
        <v>2</v>
      </c>
      <c r="E1034" s="7" t="s">
        <v>130</v>
      </c>
      <c r="F1034">
        <v>22.6</v>
      </c>
    </row>
    <row r="1035" spans="1:6" x14ac:dyDescent="0.2">
      <c r="A1035" s="8" t="s">
        <v>167</v>
      </c>
      <c r="B1035">
        <v>72017</v>
      </c>
      <c r="C1035">
        <v>34</v>
      </c>
      <c r="D1035">
        <v>2</v>
      </c>
      <c r="E1035" s="7" t="s">
        <v>130</v>
      </c>
      <c r="F1035">
        <v>45</v>
      </c>
    </row>
    <row r="1036" spans="1:6" x14ac:dyDescent="0.2">
      <c r="A1036" s="8" t="s">
        <v>167</v>
      </c>
      <c r="B1036">
        <v>72017</v>
      </c>
      <c r="C1036">
        <v>35</v>
      </c>
      <c r="D1036">
        <v>2</v>
      </c>
      <c r="E1036" s="7" t="s">
        <v>130</v>
      </c>
      <c r="F1036">
        <v>22.6</v>
      </c>
    </row>
    <row r="1037" spans="1:6" x14ac:dyDescent="0.2">
      <c r="A1037" s="8" t="s">
        <v>167</v>
      </c>
      <c r="B1037">
        <v>72017</v>
      </c>
      <c r="C1037">
        <v>36</v>
      </c>
      <c r="D1037">
        <v>2</v>
      </c>
      <c r="E1037" s="7" t="s">
        <v>130</v>
      </c>
      <c r="F1037">
        <v>64</v>
      </c>
    </row>
    <row r="1038" spans="1:6" x14ac:dyDescent="0.2">
      <c r="A1038" s="8" t="s">
        <v>167</v>
      </c>
      <c r="B1038">
        <v>72017</v>
      </c>
      <c r="C1038">
        <v>37</v>
      </c>
      <c r="D1038">
        <v>2</v>
      </c>
      <c r="E1038" s="7" t="s">
        <v>130</v>
      </c>
      <c r="F1038">
        <v>45</v>
      </c>
    </row>
    <row r="1039" spans="1:6" x14ac:dyDescent="0.2">
      <c r="A1039" s="8" t="s">
        <v>167</v>
      </c>
      <c r="B1039">
        <v>72017</v>
      </c>
      <c r="C1039">
        <v>38</v>
      </c>
      <c r="D1039">
        <v>2</v>
      </c>
      <c r="E1039" s="7" t="s">
        <v>130</v>
      </c>
      <c r="F1039">
        <v>22.6</v>
      </c>
    </row>
    <row r="1040" spans="1:6" x14ac:dyDescent="0.2">
      <c r="A1040" s="8" t="s">
        <v>167</v>
      </c>
      <c r="B1040">
        <v>72017</v>
      </c>
      <c r="C1040">
        <v>39</v>
      </c>
      <c r="D1040">
        <v>2</v>
      </c>
      <c r="E1040" s="7" t="s">
        <v>130</v>
      </c>
      <c r="F1040">
        <v>45</v>
      </c>
    </row>
    <row r="1041" spans="1:6" x14ac:dyDescent="0.2">
      <c r="A1041" s="8" t="s">
        <v>167</v>
      </c>
      <c r="B1041">
        <v>72017</v>
      </c>
      <c r="C1041">
        <v>40</v>
      </c>
      <c r="D1041">
        <v>2</v>
      </c>
      <c r="E1041" s="7" t="s">
        <v>130</v>
      </c>
      <c r="F1041">
        <v>64</v>
      </c>
    </row>
    <row r="1042" spans="1:6" x14ac:dyDescent="0.2">
      <c r="A1042" s="8" t="s">
        <v>167</v>
      </c>
      <c r="B1042">
        <v>72017</v>
      </c>
      <c r="C1042">
        <v>41</v>
      </c>
      <c r="D1042">
        <v>2</v>
      </c>
      <c r="E1042" s="7" t="s">
        <v>130</v>
      </c>
      <c r="F1042">
        <v>16</v>
      </c>
    </row>
    <row r="1043" spans="1:6" x14ac:dyDescent="0.2">
      <c r="A1043" s="8" t="s">
        <v>167</v>
      </c>
      <c r="B1043">
        <v>72017</v>
      </c>
      <c r="C1043">
        <v>42</v>
      </c>
      <c r="D1043">
        <v>2</v>
      </c>
      <c r="E1043" s="7" t="s">
        <v>130</v>
      </c>
      <c r="F1043">
        <v>16</v>
      </c>
    </row>
    <row r="1044" spans="1:6" x14ac:dyDescent="0.2">
      <c r="A1044" s="8" t="s">
        <v>167</v>
      </c>
      <c r="B1044">
        <v>72017</v>
      </c>
      <c r="C1044">
        <v>43</v>
      </c>
      <c r="D1044">
        <v>2</v>
      </c>
      <c r="E1044" s="7" t="s">
        <v>130</v>
      </c>
      <c r="F1044">
        <v>64</v>
      </c>
    </row>
    <row r="1045" spans="1:6" x14ac:dyDescent="0.2">
      <c r="A1045" s="8" t="s">
        <v>167</v>
      </c>
      <c r="B1045">
        <v>72017</v>
      </c>
      <c r="C1045">
        <v>44</v>
      </c>
      <c r="D1045">
        <v>2</v>
      </c>
      <c r="E1045" s="7" t="s">
        <v>130</v>
      </c>
      <c r="F1045">
        <v>45</v>
      </c>
    </row>
    <row r="1046" spans="1:6" x14ac:dyDescent="0.2">
      <c r="A1046" s="8" t="s">
        <v>167</v>
      </c>
      <c r="B1046">
        <v>72017</v>
      </c>
      <c r="C1046">
        <v>45</v>
      </c>
      <c r="D1046">
        <v>2</v>
      </c>
      <c r="E1046" s="7" t="s">
        <v>199</v>
      </c>
      <c r="F1046">
        <v>45</v>
      </c>
    </row>
    <row r="1047" spans="1:6" x14ac:dyDescent="0.2">
      <c r="A1047" s="8" t="s">
        <v>167</v>
      </c>
      <c r="B1047">
        <v>72017</v>
      </c>
      <c r="C1047">
        <v>46</v>
      </c>
      <c r="D1047">
        <v>2</v>
      </c>
      <c r="E1047" s="7" t="s">
        <v>199</v>
      </c>
      <c r="F1047">
        <v>45</v>
      </c>
    </row>
    <row r="1048" spans="1:6" x14ac:dyDescent="0.2">
      <c r="A1048" s="8" t="s">
        <v>167</v>
      </c>
      <c r="B1048">
        <v>72017</v>
      </c>
      <c r="C1048">
        <v>47</v>
      </c>
      <c r="D1048">
        <v>2</v>
      </c>
      <c r="E1048" s="7" t="s">
        <v>199</v>
      </c>
      <c r="F1048">
        <v>45</v>
      </c>
    </row>
    <row r="1049" spans="1:6" x14ac:dyDescent="0.2">
      <c r="A1049" s="8" t="s">
        <v>167</v>
      </c>
      <c r="B1049">
        <v>72017</v>
      </c>
      <c r="C1049">
        <v>48</v>
      </c>
      <c r="D1049">
        <v>3</v>
      </c>
      <c r="E1049" s="7" t="s">
        <v>199</v>
      </c>
      <c r="F1049">
        <v>22.6</v>
      </c>
    </row>
    <row r="1050" spans="1:6" x14ac:dyDescent="0.2">
      <c r="A1050" s="8" t="s">
        <v>167</v>
      </c>
      <c r="B1050">
        <v>72017</v>
      </c>
      <c r="C1050">
        <v>49</v>
      </c>
      <c r="D1050">
        <v>3</v>
      </c>
      <c r="E1050" s="7" t="s">
        <v>199</v>
      </c>
      <c r="F1050">
        <v>64</v>
      </c>
    </row>
    <row r="1051" spans="1:6" x14ac:dyDescent="0.2">
      <c r="A1051" s="8" t="s">
        <v>167</v>
      </c>
      <c r="B1051">
        <v>72017</v>
      </c>
      <c r="C1051">
        <v>50</v>
      </c>
      <c r="D1051">
        <v>3</v>
      </c>
      <c r="E1051" s="7" t="s">
        <v>199</v>
      </c>
      <c r="F1051">
        <v>64</v>
      </c>
    </row>
    <row r="1052" spans="1:6" x14ac:dyDescent="0.2">
      <c r="A1052" s="8" t="s">
        <v>167</v>
      </c>
      <c r="B1052">
        <v>72017</v>
      </c>
      <c r="C1052">
        <v>51</v>
      </c>
      <c r="D1052">
        <v>3</v>
      </c>
      <c r="E1052" s="7" t="s">
        <v>130</v>
      </c>
      <c r="F1052">
        <v>22.6</v>
      </c>
    </row>
    <row r="1053" spans="1:6" x14ac:dyDescent="0.2">
      <c r="A1053" s="8" t="s">
        <v>167</v>
      </c>
      <c r="B1053">
        <v>72017</v>
      </c>
      <c r="C1053">
        <v>52</v>
      </c>
      <c r="D1053">
        <v>3</v>
      </c>
      <c r="E1053" s="7" t="s">
        <v>130</v>
      </c>
      <c r="F1053">
        <v>11</v>
      </c>
    </row>
    <row r="1054" spans="1:6" x14ac:dyDescent="0.2">
      <c r="A1054" s="8" t="s">
        <v>167</v>
      </c>
      <c r="B1054">
        <v>72017</v>
      </c>
      <c r="C1054">
        <v>53</v>
      </c>
      <c r="D1054">
        <v>3</v>
      </c>
      <c r="E1054" s="7" t="s">
        <v>130</v>
      </c>
      <c r="F1054">
        <v>32</v>
      </c>
    </row>
    <row r="1055" spans="1:6" x14ac:dyDescent="0.2">
      <c r="A1055" s="8" t="s">
        <v>167</v>
      </c>
      <c r="B1055">
        <v>72017</v>
      </c>
      <c r="C1055">
        <v>54</v>
      </c>
      <c r="D1055">
        <v>3</v>
      </c>
      <c r="E1055" s="7" t="s">
        <v>130</v>
      </c>
      <c r="F1055">
        <v>45</v>
      </c>
    </row>
    <row r="1056" spans="1:6" x14ac:dyDescent="0.2">
      <c r="A1056" s="8" t="s">
        <v>167</v>
      </c>
      <c r="B1056">
        <v>72017</v>
      </c>
      <c r="C1056">
        <v>55</v>
      </c>
      <c r="D1056">
        <v>3</v>
      </c>
      <c r="E1056" s="7" t="s">
        <v>130</v>
      </c>
      <c r="F1056">
        <v>32</v>
      </c>
    </row>
    <row r="1057" spans="1:6" x14ac:dyDescent="0.2">
      <c r="A1057" s="8" t="s">
        <v>167</v>
      </c>
      <c r="B1057">
        <v>72017</v>
      </c>
      <c r="C1057">
        <v>56</v>
      </c>
      <c r="D1057">
        <v>3</v>
      </c>
      <c r="E1057" s="7" t="s">
        <v>130</v>
      </c>
      <c r="F1057">
        <v>22.6</v>
      </c>
    </row>
    <row r="1058" spans="1:6" x14ac:dyDescent="0.2">
      <c r="A1058" s="8" t="s">
        <v>167</v>
      </c>
      <c r="B1058">
        <v>72017</v>
      </c>
      <c r="C1058">
        <v>57</v>
      </c>
      <c r="D1058">
        <v>3</v>
      </c>
      <c r="E1058" s="7" t="s">
        <v>130</v>
      </c>
      <c r="F1058">
        <v>128</v>
      </c>
    </row>
    <row r="1059" spans="1:6" x14ac:dyDescent="0.2">
      <c r="A1059" s="8" t="s">
        <v>167</v>
      </c>
      <c r="B1059">
        <v>72017</v>
      </c>
      <c r="C1059">
        <v>58</v>
      </c>
      <c r="D1059">
        <v>3</v>
      </c>
      <c r="E1059" s="7" t="s">
        <v>130</v>
      </c>
      <c r="F1059">
        <v>128</v>
      </c>
    </row>
    <row r="1060" spans="1:6" x14ac:dyDescent="0.2">
      <c r="A1060" s="8" t="s">
        <v>167</v>
      </c>
      <c r="B1060">
        <v>72017</v>
      </c>
      <c r="C1060">
        <v>59</v>
      </c>
      <c r="D1060">
        <v>3</v>
      </c>
      <c r="E1060" s="7" t="s">
        <v>130</v>
      </c>
      <c r="F1060">
        <v>64</v>
      </c>
    </row>
    <row r="1061" spans="1:6" x14ac:dyDescent="0.2">
      <c r="A1061" s="8" t="s">
        <v>167</v>
      </c>
      <c r="B1061">
        <v>72017</v>
      </c>
      <c r="C1061">
        <v>60</v>
      </c>
      <c r="D1061">
        <v>3</v>
      </c>
      <c r="E1061" s="7" t="s">
        <v>130</v>
      </c>
      <c r="F1061">
        <v>22.6</v>
      </c>
    </row>
    <row r="1062" spans="1:6" x14ac:dyDescent="0.2">
      <c r="A1062" s="8" t="s">
        <v>167</v>
      </c>
      <c r="B1062">
        <v>72017</v>
      </c>
      <c r="C1062">
        <v>61</v>
      </c>
      <c r="D1062">
        <v>3</v>
      </c>
      <c r="E1062" s="7" t="s">
        <v>130</v>
      </c>
      <c r="F1062">
        <v>32</v>
      </c>
    </row>
    <row r="1063" spans="1:6" x14ac:dyDescent="0.2">
      <c r="A1063" s="8" t="s">
        <v>167</v>
      </c>
      <c r="B1063">
        <v>72017</v>
      </c>
      <c r="C1063">
        <v>62</v>
      </c>
      <c r="D1063">
        <v>3</v>
      </c>
      <c r="E1063" s="7" t="s">
        <v>130</v>
      </c>
      <c r="F1063">
        <v>45</v>
      </c>
    </row>
    <row r="1064" spans="1:6" x14ac:dyDescent="0.2">
      <c r="A1064" s="8" t="s">
        <v>167</v>
      </c>
      <c r="B1064">
        <v>72017</v>
      </c>
      <c r="C1064">
        <v>63</v>
      </c>
      <c r="D1064">
        <v>3</v>
      </c>
      <c r="E1064" s="7" t="s">
        <v>130</v>
      </c>
      <c r="F1064">
        <v>90</v>
      </c>
    </row>
    <row r="1065" spans="1:6" x14ac:dyDescent="0.2">
      <c r="A1065" s="8" t="s">
        <v>167</v>
      </c>
      <c r="B1065">
        <v>72017</v>
      </c>
      <c r="C1065">
        <v>64</v>
      </c>
      <c r="D1065">
        <v>3</v>
      </c>
      <c r="E1065" s="7" t="s">
        <v>130</v>
      </c>
      <c r="F1065">
        <v>128</v>
      </c>
    </row>
    <row r="1066" spans="1:6" x14ac:dyDescent="0.2">
      <c r="A1066" s="8" t="s">
        <v>167</v>
      </c>
      <c r="B1066">
        <v>72017</v>
      </c>
      <c r="C1066">
        <v>65</v>
      </c>
      <c r="D1066">
        <v>3</v>
      </c>
      <c r="E1066" s="7" t="s">
        <v>130</v>
      </c>
      <c r="F1066">
        <v>90</v>
      </c>
    </row>
    <row r="1067" spans="1:6" x14ac:dyDescent="0.2">
      <c r="A1067" s="8" t="s">
        <v>167</v>
      </c>
      <c r="B1067">
        <v>72017</v>
      </c>
      <c r="C1067">
        <v>66</v>
      </c>
      <c r="D1067">
        <v>3</v>
      </c>
      <c r="E1067" s="7" t="s">
        <v>130</v>
      </c>
      <c r="F1067">
        <v>22.6</v>
      </c>
    </row>
    <row r="1068" spans="1:6" x14ac:dyDescent="0.2">
      <c r="A1068" s="8" t="s">
        <v>167</v>
      </c>
      <c r="B1068">
        <v>72017</v>
      </c>
      <c r="C1068">
        <v>67</v>
      </c>
      <c r="D1068">
        <v>3</v>
      </c>
      <c r="E1068" s="7" t="s">
        <v>130</v>
      </c>
      <c r="F1068">
        <v>180</v>
      </c>
    </row>
    <row r="1069" spans="1:6" x14ac:dyDescent="0.2">
      <c r="A1069" s="8" t="s">
        <v>167</v>
      </c>
      <c r="B1069">
        <v>72017</v>
      </c>
      <c r="C1069">
        <v>68</v>
      </c>
      <c r="D1069">
        <v>3</v>
      </c>
      <c r="E1069" s="7" t="s">
        <v>130</v>
      </c>
      <c r="F1069">
        <v>32</v>
      </c>
    </row>
    <row r="1070" spans="1:6" x14ac:dyDescent="0.2">
      <c r="A1070" s="8" t="s">
        <v>167</v>
      </c>
      <c r="B1070">
        <v>72017</v>
      </c>
      <c r="C1070">
        <v>69</v>
      </c>
      <c r="D1070">
        <v>3</v>
      </c>
      <c r="E1070" s="7" t="s">
        <v>199</v>
      </c>
      <c r="F1070">
        <v>45</v>
      </c>
    </row>
    <row r="1071" spans="1:6" x14ac:dyDescent="0.2">
      <c r="A1071" s="8" t="s">
        <v>167</v>
      </c>
      <c r="B1071">
        <v>72017</v>
      </c>
      <c r="C1071">
        <v>70</v>
      </c>
      <c r="D1071">
        <v>3</v>
      </c>
      <c r="E1071" s="7" t="s">
        <v>199</v>
      </c>
      <c r="F1071">
        <v>64</v>
      </c>
    </row>
    <row r="1072" spans="1:6" x14ac:dyDescent="0.2">
      <c r="A1072" s="8" t="s">
        <v>167</v>
      </c>
      <c r="B1072">
        <v>72017</v>
      </c>
      <c r="C1072">
        <v>71</v>
      </c>
      <c r="D1072">
        <v>4</v>
      </c>
      <c r="E1072" s="7" t="s">
        <v>199</v>
      </c>
      <c r="F1072">
        <v>45</v>
      </c>
    </row>
    <row r="1073" spans="1:6" x14ac:dyDescent="0.2">
      <c r="A1073" s="8" t="s">
        <v>167</v>
      </c>
      <c r="B1073">
        <v>72017</v>
      </c>
      <c r="C1073">
        <v>72</v>
      </c>
      <c r="D1073">
        <v>4</v>
      </c>
      <c r="E1073" s="7" t="s">
        <v>199</v>
      </c>
      <c r="F1073">
        <v>128</v>
      </c>
    </row>
    <row r="1074" spans="1:6" x14ac:dyDescent="0.2">
      <c r="A1074" s="8" t="s">
        <v>167</v>
      </c>
      <c r="B1074">
        <v>72017</v>
      </c>
      <c r="C1074">
        <v>73</v>
      </c>
      <c r="D1074">
        <v>4</v>
      </c>
      <c r="E1074" s="7" t="s">
        <v>130</v>
      </c>
      <c r="F1074">
        <v>16</v>
      </c>
    </row>
    <row r="1075" spans="1:6" x14ac:dyDescent="0.2">
      <c r="A1075" s="8" t="s">
        <v>167</v>
      </c>
      <c r="B1075">
        <v>72017</v>
      </c>
      <c r="C1075">
        <v>74</v>
      </c>
      <c r="D1075">
        <v>4</v>
      </c>
      <c r="E1075" s="7" t="s">
        <v>130</v>
      </c>
      <c r="F1075">
        <v>22.6</v>
      </c>
    </row>
    <row r="1076" spans="1:6" x14ac:dyDescent="0.2">
      <c r="A1076" s="8" t="s">
        <v>167</v>
      </c>
      <c r="B1076">
        <v>72017</v>
      </c>
      <c r="C1076">
        <v>75</v>
      </c>
      <c r="D1076">
        <v>4</v>
      </c>
      <c r="E1076" s="7" t="s">
        <v>130</v>
      </c>
      <c r="F1076">
        <v>64</v>
      </c>
    </row>
    <row r="1077" spans="1:6" x14ac:dyDescent="0.2">
      <c r="A1077" s="8" t="s">
        <v>167</v>
      </c>
      <c r="B1077">
        <v>72017</v>
      </c>
      <c r="C1077">
        <v>76</v>
      </c>
      <c r="D1077">
        <v>4</v>
      </c>
      <c r="E1077" s="7" t="s">
        <v>130</v>
      </c>
      <c r="F1077">
        <v>22.6</v>
      </c>
    </row>
    <row r="1078" spans="1:6" x14ac:dyDescent="0.2">
      <c r="A1078" s="8" t="s">
        <v>167</v>
      </c>
      <c r="B1078">
        <v>72017</v>
      </c>
      <c r="C1078">
        <v>77</v>
      </c>
      <c r="D1078">
        <v>4</v>
      </c>
      <c r="E1078" s="7" t="s">
        <v>130</v>
      </c>
      <c r="F1078">
        <v>45</v>
      </c>
    </row>
    <row r="1079" spans="1:6" x14ac:dyDescent="0.2">
      <c r="A1079" s="8" t="s">
        <v>167</v>
      </c>
      <c r="B1079">
        <v>72017</v>
      </c>
      <c r="C1079">
        <v>78</v>
      </c>
      <c r="D1079">
        <v>4</v>
      </c>
      <c r="E1079" s="7" t="s">
        <v>130</v>
      </c>
      <c r="F1079">
        <v>128</v>
      </c>
    </row>
    <row r="1080" spans="1:6" x14ac:dyDescent="0.2">
      <c r="A1080" s="8" t="s">
        <v>167</v>
      </c>
      <c r="B1080">
        <v>72017</v>
      </c>
      <c r="C1080">
        <v>79</v>
      </c>
      <c r="D1080">
        <v>4</v>
      </c>
      <c r="E1080" s="7" t="s">
        <v>130</v>
      </c>
      <c r="F1080">
        <v>45</v>
      </c>
    </row>
    <row r="1081" spans="1:6" x14ac:dyDescent="0.2">
      <c r="A1081" s="8" t="s">
        <v>167</v>
      </c>
      <c r="B1081">
        <v>72017</v>
      </c>
      <c r="C1081">
        <v>80</v>
      </c>
      <c r="D1081">
        <v>4</v>
      </c>
      <c r="E1081" s="7" t="s">
        <v>130</v>
      </c>
      <c r="F1081">
        <v>45</v>
      </c>
    </row>
    <row r="1082" spans="1:6" x14ac:dyDescent="0.2">
      <c r="A1082" s="8" t="s">
        <v>167</v>
      </c>
      <c r="B1082">
        <v>72017</v>
      </c>
      <c r="C1082">
        <v>81</v>
      </c>
      <c r="D1082">
        <v>4</v>
      </c>
      <c r="E1082" s="7" t="s">
        <v>130</v>
      </c>
      <c r="F1082">
        <v>64</v>
      </c>
    </row>
    <row r="1083" spans="1:6" x14ac:dyDescent="0.2">
      <c r="A1083" s="8" t="s">
        <v>167</v>
      </c>
      <c r="B1083">
        <v>72017</v>
      </c>
      <c r="C1083">
        <v>82</v>
      </c>
      <c r="D1083">
        <v>4</v>
      </c>
      <c r="E1083" s="7" t="s">
        <v>130</v>
      </c>
      <c r="F1083">
        <v>128</v>
      </c>
    </row>
    <row r="1084" spans="1:6" x14ac:dyDescent="0.2">
      <c r="A1084" s="8" t="s">
        <v>167</v>
      </c>
      <c r="B1084">
        <v>72017</v>
      </c>
      <c r="C1084">
        <v>83</v>
      </c>
      <c r="D1084">
        <v>4</v>
      </c>
      <c r="E1084" s="7" t="s">
        <v>130</v>
      </c>
      <c r="F1084">
        <v>45</v>
      </c>
    </row>
    <row r="1085" spans="1:6" x14ac:dyDescent="0.2">
      <c r="A1085" s="8" t="s">
        <v>167</v>
      </c>
      <c r="B1085">
        <v>72017</v>
      </c>
      <c r="C1085">
        <v>84</v>
      </c>
      <c r="D1085">
        <v>4</v>
      </c>
      <c r="E1085" s="7" t="s">
        <v>130</v>
      </c>
      <c r="F1085">
        <v>90</v>
      </c>
    </row>
    <row r="1086" spans="1:6" x14ac:dyDescent="0.2">
      <c r="A1086" s="8" t="s">
        <v>167</v>
      </c>
      <c r="B1086">
        <v>72017</v>
      </c>
      <c r="C1086">
        <v>85</v>
      </c>
      <c r="D1086">
        <v>4</v>
      </c>
      <c r="E1086" s="7" t="s">
        <v>130</v>
      </c>
      <c r="F1086">
        <v>16</v>
      </c>
    </row>
    <row r="1087" spans="1:6" x14ac:dyDescent="0.2">
      <c r="A1087" s="8" t="s">
        <v>167</v>
      </c>
      <c r="B1087">
        <v>72017</v>
      </c>
      <c r="C1087">
        <v>86</v>
      </c>
      <c r="D1087">
        <v>4</v>
      </c>
      <c r="E1087" s="7" t="s">
        <v>130</v>
      </c>
      <c r="F1087">
        <v>16</v>
      </c>
    </row>
    <row r="1088" spans="1:6" x14ac:dyDescent="0.2">
      <c r="A1088" s="8" t="s">
        <v>167</v>
      </c>
      <c r="B1088">
        <v>72017</v>
      </c>
      <c r="C1088">
        <v>87</v>
      </c>
      <c r="D1088">
        <v>4</v>
      </c>
      <c r="E1088" s="7" t="s">
        <v>130</v>
      </c>
      <c r="F1088">
        <v>22.6</v>
      </c>
    </row>
    <row r="1089" spans="1:7" x14ac:dyDescent="0.2">
      <c r="A1089" s="8" t="s">
        <v>167</v>
      </c>
      <c r="B1089">
        <v>72017</v>
      </c>
      <c r="C1089">
        <v>88</v>
      </c>
      <c r="D1089">
        <v>4</v>
      </c>
      <c r="E1089" s="7" t="s">
        <v>130</v>
      </c>
      <c r="F1089">
        <v>32</v>
      </c>
    </row>
    <row r="1090" spans="1:7" x14ac:dyDescent="0.2">
      <c r="A1090" s="8" t="s">
        <v>167</v>
      </c>
      <c r="B1090">
        <v>72017</v>
      </c>
      <c r="C1090">
        <v>89</v>
      </c>
      <c r="D1090">
        <v>4</v>
      </c>
      <c r="E1090" s="7" t="s">
        <v>130</v>
      </c>
      <c r="F1090">
        <v>32</v>
      </c>
    </row>
    <row r="1091" spans="1:7" x14ac:dyDescent="0.2">
      <c r="A1091" s="8" t="s">
        <v>167</v>
      </c>
      <c r="B1091">
        <v>72017</v>
      </c>
      <c r="C1091">
        <v>90</v>
      </c>
      <c r="D1091">
        <v>4</v>
      </c>
      <c r="E1091" s="7" t="s">
        <v>199</v>
      </c>
      <c r="F1091">
        <v>45</v>
      </c>
    </row>
    <row r="1092" spans="1:7" x14ac:dyDescent="0.2">
      <c r="A1092" s="8" t="s">
        <v>167</v>
      </c>
      <c r="B1092">
        <v>72017</v>
      </c>
      <c r="C1092">
        <v>91</v>
      </c>
      <c r="D1092">
        <v>4</v>
      </c>
      <c r="E1092" s="7" t="s">
        <v>199</v>
      </c>
      <c r="F1092">
        <v>11</v>
      </c>
    </row>
    <row r="1093" spans="1:7" x14ac:dyDescent="0.2">
      <c r="A1093" s="8" t="s">
        <v>167</v>
      </c>
      <c r="B1093">
        <v>72017</v>
      </c>
      <c r="C1093">
        <v>92</v>
      </c>
      <c r="D1093">
        <v>4</v>
      </c>
      <c r="E1093" s="7" t="s">
        <v>199</v>
      </c>
      <c r="F1093">
        <v>16</v>
      </c>
    </row>
    <row r="1094" spans="1:7" x14ac:dyDescent="0.2">
      <c r="A1094" s="8" t="s">
        <v>167</v>
      </c>
      <c r="B1094">
        <v>72017</v>
      </c>
      <c r="C1094">
        <v>93</v>
      </c>
      <c r="D1094">
        <v>4</v>
      </c>
      <c r="E1094" s="7" t="s">
        <v>199</v>
      </c>
      <c r="F1094">
        <v>22.6</v>
      </c>
    </row>
    <row r="1095" spans="1:7" x14ac:dyDescent="0.2">
      <c r="A1095" s="8" t="s">
        <v>167</v>
      </c>
      <c r="B1095">
        <v>72017</v>
      </c>
      <c r="C1095">
        <v>94</v>
      </c>
      <c r="D1095">
        <v>5</v>
      </c>
      <c r="E1095" s="7" t="s">
        <v>199</v>
      </c>
      <c r="F1095">
        <v>32</v>
      </c>
    </row>
    <row r="1096" spans="1:7" x14ac:dyDescent="0.2">
      <c r="A1096" s="8" t="s">
        <v>167</v>
      </c>
      <c r="B1096">
        <v>72017</v>
      </c>
      <c r="C1096">
        <v>95</v>
      </c>
      <c r="D1096">
        <v>5</v>
      </c>
      <c r="E1096" s="7" t="s">
        <v>199</v>
      </c>
      <c r="F1096">
        <v>64</v>
      </c>
    </row>
    <row r="1097" spans="1:7" x14ac:dyDescent="0.2">
      <c r="A1097" s="8" t="s">
        <v>167</v>
      </c>
      <c r="B1097">
        <v>72017</v>
      </c>
      <c r="C1097">
        <v>96</v>
      </c>
      <c r="D1097">
        <v>5</v>
      </c>
      <c r="E1097" s="7" t="s">
        <v>199</v>
      </c>
      <c r="F1097">
        <v>32</v>
      </c>
    </row>
    <row r="1098" spans="1:7" x14ac:dyDescent="0.2">
      <c r="A1098" s="8" t="s">
        <v>167</v>
      </c>
      <c r="B1098">
        <v>72017</v>
      </c>
      <c r="C1098">
        <v>97</v>
      </c>
      <c r="D1098">
        <v>5</v>
      </c>
      <c r="E1098" s="7" t="s">
        <v>130</v>
      </c>
      <c r="F1098">
        <v>45</v>
      </c>
    </row>
    <row r="1099" spans="1:7" x14ac:dyDescent="0.2">
      <c r="A1099" s="8" t="s">
        <v>167</v>
      </c>
      <c r="B1099">
        <v>72017</v>
      </c>
      <c r="C1099">
        <v>98</v>
      </c>
      <c r="D1099">
        <v>5</v>
      </c>
      <c r="E1099" s="7" t="s">
        <v>130</v>
      </c>
      <c r="F1099">
        <v>45</v>
      </c>
    </row>
    <row r="1100" spans="1:7" x14ac:dyDescent="0.2">
      <c r="A1100" s="8" t="s">
        <v>167</v>
      </c>
      <c r="B1100">
        <v>72017</v>
      </c>
      <c r="C1100">
        <v>99</v>
      </c>
      <c r="D1100">
        <v>5</v>
      </c>
      <c r="E1100" s="7" t="s">
        <v>130</v>
      </c>
      <c r="F1100">
        <v>45</v>
      </c>
    </row>
    <row r="1101" spans="1:7" x14ac:dyDescent="0.2">
      <c r="A1101" s="8" t="s">
        <v>167</v>
      </c>
      <c r="B1101">
        <v>72017</v>
      </c>
      <c r="C1101">
        <v>100</v>
      </c>
      <c r="D1101">
        <v>5</v>
      </c>
      <c r="E1101" s="7" t="s">
        <v>130</v>
      </c>
      <c r="F1101">
        <v>45</v>
      </c>
    </row>
    <row r="1102" spans="1:7" x14ac:dyDescent="0.2">
      <c r="A1102" s="7" t="s">
        <v>166</v>
      </c>
      <c r="B1102">
        <v>72017</v>
      </c>
      <c r="C1102">
        <v>1</v>
      </c>
      <c r="D1102">
        <v>1</v>
      </c>
      <c r="E1102" s="7" t="s">
        <v>125</v>
      </c>
      <c r="F1102" s="7">
        <v>45</v>
      </c>
      <c r="G1102" s="7" t="s">
        <v>201</v>
      </c>
    </row>
    <row r="1103" spans="1:7" x14ac:dyDescent="0.2">
      <c r="A1103" s="7" t="s">
        <v>166</v>
      </c>
      <c r="B1103">
        <v>72017</v>
      </c>
      <c r="C1103">
        <v>2</v>
      </c>
      <c r="D1103">
        <v>1</v>
      </c>
      <c r="E1103" s="7" t="s">
        <v>125</v>
      </c>
      <c r="F1103" s="7">
        <v>90</v>
      </c>
    </row>
    <row r="1104" spans="1:7" x14ac:dyDescent="0.2">
      <c r="A1104" s="7" t="s">
        <v>166</v>
      </c>
      <c r="B1104">
        <v>72017</v>
      </c>
      <c r="C1104">
        <v>3</v>
      </c>
      <c r="D1104">
        <v>1</v>
      </c>
      <c r="E1104" s="7" t="s">
        <v>125</v>
      </c>
      <c r="F1104" s="7">
        <v>64</v>
      </c>
    </row>
    <row r="1105" spans="1:6" x14ac:dyDescent="0.2">
      <c r="A1105" s="7" t="s">
        <v>166</v>
      </c>
      <c r="B1105">
        <v>72017</v>
      </c>
      <c r="C1105">
        <v>4</v>
      </c>
      <c r="D1105">
        <v>1</v>
      </c>
      <c r="E1105" s="7" t="s">
        <v>125</v>
      </c>
      <c r="F1105" s="7">
        <v>22.6</v>
      </c>
    </row>
    <row r="1106" spans="1:6" x14ac:dyDescent="0.2">
      <c r="A1106" s="7" t="s">
        <v>166</v>
      </c>
      <c r="B1106">
        <v>72017</v>
      </c>
      <c r="C1106">
        <v>5</v>
      </c>
      <c r="D1106">
        <v>1</v>
      </c>
      <c r="E1106" s="7" t="s">
        <v>125</v>
      </c>
      <c r="F1106" s="7">
        <v>64</v>
      </c>
    </row>
    <row r="1107" spans="1:6" x14ac:dyDescent="0.2">
      <c r="A1107" s="7" t="s">
        <v>166</v>
      </c>
      <c r="B1107">
        <v>72017</v>
      </c>
      <c r="C1107">
        <v>6</v>
      </c>
      <c r="D1107">
        <v>1</v>
      </c>
      <c r="E1107" s="7" t="s">
        <v>130</v>
      </c>
      <c r="F1107" s="7">
        <v>16</v>
      </c>
    </row>
    <row r="1108" spans="1:6" x14ac:dyDescent="0.2">
      <c r="A1108" s="7" t="s">
        <v>166</v>
      </c>
      <c r="B1108">
        <v>72017</v>
      </c>
      <c r="C1108">
        <v>7</v>
      </c>
      <c r="D1108">
        <v>1</v>
      </c>
      <c r="E1108" s="7" t="s">
        <v>130</v>
      </c>
      <c r="F1108" s="7">
        <v>32</v>
      </c>
    </row>
    <row r="1109" spans="1:6" x14ac:dyDescent="0.2">
      <c r="A1109" s="7" t="s">
        <v>166</v>
      </c>
      <c r="B1109">
        <v>72017</v>
      </c>
      <c r="C1109">
        <v>8</v>
      </c>
      <c r="D1109">
        <v>1</v>
      </c>
      <c r="E1109" s="7" t="s">
        <v>130</v>
      </c>
      <c r="F1109" s="7">
        <v>90</v>
      </c>
    </row>
    <row r="1110" spans="1:6" x14ac:dyDescent="0.2">
      <c r="A1110" s="7" t="s">
        <v>166</v>
      </c>
      <c r="B1110">
        <v>72017</v>
      </c>
      <c r="C1110">
        <v>9</v>
      </c>
      <c r="D1110">
        <v>1</v>
      </c>
      <c r="E1110" s="7" t="s">
        <v>130</v>
      </c>
      <c r="F1110" s="7">
        <v>180</v>
      </c>
    </row>
    <row r="1111" spans="1:6" x14ac:dyDescent="0.2">
      <c r="A1111" s="7" t="s">
        <v>166</v>
      </c>
      <c r="B1111">
        <v>72017</v>
      </c>
      <c r="C1111">
        <v>10</v>
      </c>
      <c r="D1111">
        <v>1</v>
      </c>
      <c r="E1111" s="7" t="s">
        <v>130</v>
      </c>
      <c r="F1111" s="7">
        <v>22.6</v>
      </c>
    </row>
    <row r="1112" spans="1:6" x14ac:dyDescent="0.2">
      <c r="A1112" s="7" t="s">
        <v>166</v>
      </c>
      <c r="B1112">
        <v>72017</v>
      </c>
      <c r="C1112">
        <v>11</v>
      </c>
      <c r="D1112">
        <v>1</v>
      </c>
      <c r="E1112" s="7" t="s">
        <v>130</v>
      </c>
      <c r="F1112" s="7">
        <v>16</v>
      </c>
    </row>
    <row r="1113" spans="1:6" x14ac:dyDescent="0.2">
      <c r="A1113" s="7" t="s">
        <v>166</v>
      </c>
      <c r="B1113">
        <v>72017</v>
      </c>
      <c r="C1113">
        <v>12</v>
      </c>
      <c r="D1113">
        <v>1</v>
      </c>
      <c r="E1113" s="7" t="s">
        <v>130</v>
      </c>
      <c r="F1113" s="7">
        <v>32</v>
      </c>
    </row>
    <row r="1114" spans="1:6" x14ac:dyDescent="0.2">
      <c r="A1114" s="7" t="s">
        <v>166</v>
      </c>
      <c r="B1114">
        <v>72017</v>
      </c>
      <c r="C1114">
        <v>13</v>
      </c>
      <c r="D1114">
        <v>1</v>
      </c>
      <c r="E1114" s="7" t="s">
        <v>130</v>
      </c>
      <c r="F1114" s="7">
        <v>90</v>
      </c>
    </row>
    <row r="1115" spans="1:6" x14ac:dyDescent="0.2">
      <c r="A1115" s="7" t="s">
        <v>166</v>
      </c>
      <c r="B1115">
        <v>72017</v>
      </c>
      <c r="C1115">
        <v>14</v>
      </c>
      <c r="D1115">
        <v>1</v>
      </c>
      <c r="E1115" s="7" t="s">
        <v>130</v>
      </c>
      <c r="F1115" s="7">
        <v>128</v>
      </c>
    </row>
    <row r="1116" spans="1:6" x14ac:dyDescent="0.2">
      <c r="A1116" s="7" t="s">
        <v>166</v>
      </c>
      <c r="B1116">
        <v>72017</v>
      </c>
      <c r="C1116">
        <v>15</v>
      </c>
      <c r="D1116">
        <v>1</v>
      </c>
      <c r="E1116" s="7" t="s">
        <v>130</v>
      </c>
      <c r="F1116" s="7">
        <v>90</v>
      </c>
    </row>
    <row r="1117" spans="1:6" x14ac:dyDescent="0.2">
      <c r="A1117" s="7" t="s">
        <v>166</v>
      </c>
      <c r="B1117">
        <v>72017</v>
      </c>
      <c r="C1117">
        <v>16</v>
      </c>
      <c r="D1117">
        <v>1</v>
      </c>
      <c r="E1117" s="7" t="s">
        <v>130</v>
      </c>
      <c r="F1117" s="7">
        <v>64</v>
      </c>
    </row>
    <row r="1118" spans="1:6" x14ac:dyDescent="0.2">
      <c r="A1118" s="7" t="s">
        <v>166</v>
      </c>
      <c r="B1118">
        <v>72017</v>
      </c>
      <c r="C1118">
        <v>17</v>
      </c>
      <c r="D1118">
        <v>1</v>
      </c>
      <c r="E1118" s="7" t="s">
        <v>130</v>
      </c>
      <c r="F1118" s="7">
        <v>16</v>
      </c>
    </row>
    <row r="1119" spans="1:6" x14ac:dyDescent="0.2">
      <c r="A1119" s="7" t="s">
        <v>166</v>
      </c>
      <c r="B1119">
        <v>72017</v>
      </c>
      <c r="C1119">
        <v>18</v>
      </c>
      <c r="D1119">
        <v>1</v>
      </c>
      <c r="E1119" s="7" t="s">
        <v>130</v>
      </c>
      <c r="F1119" s="7">
        <v>128</v>
      </c>
    </row>
    <row r="1120" spans="1:6" x14ac:dyDescent="0.2">
      <c r="A1120" s="7" t="s">
        <v>166</v>
      </c>
      <c r="B1120">
        <v>72017</v>
      </c>
      <c r="C1120">
        <v>19</v>
      </c>
      <c r="D1120">
        <v>1</v>
      </c>
      <c r="E1120" s="7" t="s">
        <v>200</v>
      </c>
      <c r="F1120" s="7">
        <v>45</v>
      </c>
    </row>
    <row r="1121" spans="1:6" x14ac:dyDescent="0.2">
      <c r="A1121" s="7" t="s">
        <v>166</v>
      </c>
      <c r="B1121">
        <v>72017</v>
      </c>
      <c r="C1121">
        <v>20</v>
      </c>
      <c r="D1121">
        <v>1</v>
      </c>
      <c r="E1121" s="7" t="s">
        <v>200</v>
      </c>
      <c r="F1121" s="7">
        <v>45</v>
      </c>
    </row>
    <row r="1122" spans="1:6" x14ac:dyDescent="0.2">
      <c r="A1122" s="7" t="s">
        <v>166</v>
      </c>
      <c r="B1122">
        <v>72017</v>
      </c>
      <c r="C1122">
        <v>21</v>
      </c>
      <c r="D1122">
        <v>1</v>
      </c>
      <c r="E1122" s="7" t="s">
        <v>200</v>
      </c>
      <c r="F1122" s="7">
        <v>180</v>
      </c>
    </row>
    <row r="1123" spans="1:6" x14ac:dyDescent="0.2">
      <c r="A1123" s="7" t="s">
        <v>166</v>
      </c>
      <c r="B1123">
        <v>72017</v>
      </c>
      <c r="C1123">
        <v>22</v>
      </c>
      <c r="D1123">
        <v>1</v>
      </c>
      <c r="E1123" s="7" t="s">
        <v>200</v>
      </c>
      <c r="F1123" s="7">
        <v>64</v>
      </c>
    </row>
    <row r="1124" spans="1:6" x14ac:dyDescent="0.2">
      <c r="A1124" s="7" t="s">
        <v>166</v>
      </c>
      <c r="B1124">
        <v>72017</v>
      </c>
      <c r="C1124">
        <v>23</v>
      </c>
      <c r="D1124">
        <v>1</v>
      </c>
      <c r="E1124" s="7" t="s">
        <v>200</v>
      </c>
      <c r="F1124">
        <v>32</v>
      </c>
    </row>
    <row r="1125" spans="1:6" x14ac:dyDescent="0.2">
      <c r="A1125" s="7" t="s">
        <v>166</v>
      </c>
      <c r="B1125">
        <v>72017</v>
      </c>
      <c r="C1125">
        <v>24</v>
      </c>
      <c r="D1125">
        <v>2</v>
      </c>
      <c r="E1125" s="7" t="s">
        <v>200</v>
      </c>
      <c r="F1125">
        <v>45</v>
      </c>
    </row>
    <row r="1126" spans="1:6" x14ac:dyDescent="0.2">
      <c r="A1126" s="7" t="s">
        <v>166</v>
      </c>
      <c r="B1126">
        <v>72017</v>
      </c>
      <c r="C1126">
        <v>25</v>
      </c>
      <c r="D1126">
        <v>2</v>
      </c>
      <c r="E1126" s="7" t="s">
        <v>200</v>
      </c>
      <c r="F1126">
        <v>180</v>
      </c>
    </row>
    <row r="1127" spans="1:6" x14ac:dyDescent="0.2">
      <c r="A1127" s="7" t="s">
        <v>166</v>
      </c>
      <c r="B1127">
        <v>72017</v>
      </c>
      <c r="C1127">
        <v>26</v>
      </c>
      <c r="D1127">
        <v>2</v>
      </c>
      <c r="E1127" s="7" t="s">
        <v>200</v>
      </c>
      <c r="F1127">
        <v>90</v>
      </c>
    </row>
    <row r="1128" spans="1:6" x14ac:dyDescent="0.2">
      <c r="A1128" s="7" t="s">
        <v>166</v>
      </c>
      <c r="B1128">
        <v>72017</v>
      </c>
      <c r="C1128">
        <v>27</v>
      </c>
      <c r="D1128">
        <v>2</v>
      </c>
      <c r="E1128" s="7" t="s">
        <v>127</v>
      </c>
      <c r="F1128">
        <v>180</v>
      </c>
    </row>
    <row r="1129" spans="1:6" x14ac:dyDescent="0.2">
      <c r="A1129" s="7" t="s">
        <v>166</v>
      </c>
      <c r="B1129">
        <v>72017</v>
      </c>
      <c r="C1129">
        <v>28</v>
      </c>
      <c r="D1129">
        <v>2</v>
      </c>
      <c r="E1129" s="7" t="s">
        <v>127</v>
      </c>
      <c r="F1129">
        <v>180</v>
      </c>
    </row>
    <row r="1130" spans="1:6" x14ac:dyDescent="0.2">
      <c r="A1130" s="7" t="s">
        <v>166</v>
      </c>
      <c r="B1130">
        <v>72017</v>
      </c>
      <c r="C1130">
        <v>29</v>
      </c>
      <c r="D1130">
        <v>2</v>
      </c>
      <c r="E1130" s="7" t="s">
        <v>127</v>
      </c>
      <c r="F1130">
        <v>32</v>
      </c>
    </row>
    <row r="1131" spans="1:6" x14ac:dyDescent="0.2">
      <c r="A1131" s="7" t="s">
        <v>166</v>
      </c>
      <c r="B1131">
        <v>72017</v>
      </c>
      <c r="C1131">
        <v>30</v>
      </c>
      <c r="D1131">
        <v>2</v>
      </c>
      <c r="E1131" s="7" t="s">
        <v>127</v>
      </c>
      <c r="F1131">
        <v>64</v>
      </c>
    </row>
    <row r="1132" spans="1:6" x14ac:dyDescent="0.2">
      <c r="A1132" s="7" t="s">
        <v>166</v>
      </c>
      <c r="B1132">
        <v>72017</v>
      </c>
      <c r="C1132">
        <v>31</v>
      </c>
      <c r="D1132">
        <v>2</v>
      </c>
      <c r="E1132" s="7" t="s">
        <v>127</v>
      </c>
      <c r="F1132">
        <v>64</v>
      </c>
    </row>
    <row r="1133" spans="1:6" x14ac:dyDescent="0.2">
      <c r="A1133" s="7" t="s">
        <v>166</v>
      </c>
      <c r="B1133">
        <v>72017</v>
      </c>
      <c r="C1133">
        <v>32</v>
      </c>
      <c r="D1133">
        <v>2</v>
      </c>
      <c r="E1133" s="7" t="s">
        <v>127</v>
      </c>
      <c r="F1133">
        <v>128</v>
      </c>
    </row>
    <row r="1134" spans="1:6" x14ac:dyDescent="0.2">
      <c r="A1134" s="7" t="s">
        <v>166</v>
      </c>
      <c r="B1134">
        <v>72017</v>
      </c>
      <c r="C1134">
        <v>33</v>
      </c>
      <c r="D1134">
        <v>2</v>
      </c>
      <c r="E1134" s="7" t="s">
        <v>127</v>
      </c>
      <c r="F1134">
        <v>16</v>
      </c>
    </row>
    <row r="1135" spans="1:6" x14ac:dyDescent="0.2">
      <c r="A1135" s="7" t="s">
        <v>166</v>
      </c>
      <c r="B1135">
        <v>72017</v>
      </c>
      <c r="C1135">
        <v>34</v>
      </c>
      <c r="D1135">
        <v>2</v>
      </c>
      <c r="E1135" s="7" t="s">
        <v>127</v>
      </c>
      <c r="F1135">
        <v>16</v>
      </c>
    </row>
    <row r="1136" spans="1:6" x14ac:dyDescent="0.2">
      <c r="A1136" s="7" t="s">
        <v>166</v>
      </c>
      <c r="B1136">
        <v>72017</v>
      </c>
      <c r="C1136">
        <v>35</v>
      </c>
      <c r="D1136">
        <v>2</v>
      </c>
      <c r="E1136" s="7" t="s">
        <v>127</v>
      </c>
      <c r="F1136">
        <v>45</v>
      </c>
    </row>
    <row r="1137" spans="1:6" x14ac:dyDescent="0.2">
      <c r="A1137" s="7" t="s">
        <v>166</v>
      </c>
      <c r="B1137">
        <v>72017</v>
      </c>
      <c r="C1137">
        <v>36</v>
      </c>
      <c r="D1137">
        <v>2</v>
      </c>
      <c r="E1137" s="7" t="s">
        <v>127</v>
      </c>
      <c r="F1137">
        <v>32</v>
      </c>
    </row>
    <row r="1138" spans="1:6" x14ac:dyDescent="0.2">
      <c r="A1138" s="7" t="s">
        <v>166</v>
      </c>
      <c r="B1138">
        <v>72017</v>
      </c>
      <c r="C1138">
        <v>37</v>
      </c>
      <c r="D1138">
        <v>2</v>
      </c>
      <c r="E1138" s="7" t="s">
        <v>127</v>
      </c>
      <c r="F1138">
        <v>90</v>
      </c>
    </row>
    <row r="1139" spans="1:6" x14ac:dyDescent="0.2">
      <c r="A1139" s="7" t="s">
        <v>166</v>
      </c>
      <c r="B1139">
        <v>72017</v>
      </c>
      <c r="C1139">
        <v>38</v>
      </c>
      <c r="D1139">
        <v>2</v>
      </c>
      <c r="E1139" s="7" t="s">
        <v>127</v>
      </c>
      <c r="F1139">
        <v>64</v>
      </c>
    </row>
    <row r="1140" spans="1:6" x14ac:dyDescent="0.2">
      <c r="A1140" s="7" t="s">
        <v>166</v>
      </c>
      <c r="B1140">
        <v>72017</v>
      </c>
      <c r="C1140">
        <v>39</v>
      </c>
      <c r="D1140">
        <v>2</v>
      </c>
      <c r="E1140" s="7" t="s">
        <v>127</v>
      </c>
      <c r="F1140">
        <v>64</v>
      </c>
    </row>
    <row r="1141" spans="1:6" x14ac:dyDescent="0.2">
      <c r="A1141" s="7" t="s">
        <v>166</v>
      </c>
      <c r="B1141">
        <v>72017</v>
      </c>
      <c r="C1141">
        <v>40</v>
      </c>
      <c r="D1141">
        <v>2</v>
      </c>
      <c r="E1141" s="7" t="s">
        <v>127</v>
      </c>
      <c r="F1141">
        <v>11</v>
      </c>
    </row>
    <row r="1142" spans="1:6" x14ac:dyDescent="0.2">
      <c r="A1142" s="7" t="s">
        <v>166</v>
      </c>
      <c r="B1142">
        <v>72017</v>
      </c>
      <c r="C1142">
        <v>41</v>
      </c>
      <c r="D1142">
        <v>2</v>
      </c>
      <c r="E1142" s="7" t="s">
        <v>125</v>
      </c>
      <c r="F1142">
        <v>2.8</v>
      </c>
    </row>
    <row r="1143" spans="1:6" x14ac:dyDescent="0.2">
      <c r="A1143" s="7" t="s">
        <v>166</v>
      </c>
      <c r="B1143">
        <v>72017</v>
      </c>
      <c r="C1143">
        <v>42</v>
      </c>
      <c r="D1143">
        <v>2</v>
      </c>
      <c r="E1143" s="7" t="s">
        <v>125</v>
      </c>
      <c r="F1143">
        <v>64</v>
      </c>
    </row>
    <row r="1144" spans="1:6" x14ac:dyDescent="0.2">
      <c r="A1144" s="7" t="s">
        <v>166</v>
      </c>
      <c r="B1144">
        <v>72017</v>
      </c>
      <c r="C1144">
        <v>43</v>
      </c>
      <c r="D1144">
        <v>2</v>
      </c>
      <c r="E1144" s="7" t="s">
        <v>125</v>
      </c>
      <c r="F1144">
        <v>16</v>
      </c>
    </row>
    <row r="1145" spans="1:6" x14ac:dyDescent="0.2">
      <c r="A1145" s="7" t="s">
        <v>166</v>
      </c>
      <c r="B1145">
        <v>72017</v>
      </c>
      <c r="C1145">
        <v>44</v>
      </c>
      <c r="D1145">
        <v>2</v>
      </c>
      <c r="E1145" s="7" t="s">
        <v>125</v>
      </c>
      <c r="F1145">
        <v>4</v>
      </c>
    </row>
    <row r="1146" spans="1:6" x14ac:dyDescent="0.2">
      <c r="A1146" s="7" t="s">
        <v>166</v>
      </c>
      <c r="B1146">
        <v>72017</v>
      </c>
      <c r="C1146">
        <v>45</v>
      </c>
      <c r="D1146">
        <v>2</v>
      </c>
      <c r="E1146" s="7" t="s">
        <v>125</v>
      </c>
      <c r="F1146">
        <v>8</v>
      </c>
    </row>
    <row r="1147" spans="1:6" x14ac:dyDescent="0.2">
      <c r="A1147" s="7" t="s">
        <v>166</v>
      </c>
      <c r="B1147">
        <v>72017</v>
      </c>
      <c r="C1147">
        <v>46</v>
      </c>
      <c r="D1147">
        <v>2</v>
      </c>
      <c r="E1147" s="7" t="s">
        <v>125</v>
      </c>
      <c r="F1147">
        <v>22.6</v>
      </c>
    </row>
    <row r="1148" spans="1:6" x14ac:dyDescent="0.2">
      <c r="A1148" s="7" t="s">
        <v>166</v>
      </c>
      <c r="B1148">
        <v>72017</v>
      </c>
      <c r="C1148">
        <v>47</v>
      </c>
      <c r="D1148">
        <v>2</v>
      </c>
      <c r="E1148" s="7" t="s">
        <v>125</v>
      </c>
      <c r="F1148">
        <v>64</v>
      </c>
    </row>
    <row r="1149" spans="1:6" x14ac:dyDescent="0.2">
      <c r="A1149" s="7" t="s">
        <v>166</v>
      </c>
      <c r="B1149">
        <v>72017</v>
      </c>
      <c r="C1149">
        <v>48</v>
      </c>
      <c r="D1149">
        <v>2</v>
      </c>
      <c r="E1149" s="7" t="s">
        <v>125</v>
      </c>
      <c r="F1149">
        <v>32</v>
      </c>
    </row>
    <row r="1150" spans="1:6" x14ac:dyDescent="0.2">
      <c r="A1150" s="7" t="s">
        <v>166</v>
      </c>
      <c r="B1150">
        <v>72017</v>
      </c>
      <c r="C1150">
        <v>49</v>
      </c>
      <c r="D1150">
        <v>2</v>
      </c>
      <c r="E1150" s="7" t="s">
        <v>125</v>
      </c>
      <c r="F1150">
        <v>45</v>
      </c>
    </row>
    <row r="1151" spans="1:6" x14ac:dyDescent="0.2">
      <c r="A1151" s="7" t="s">
        <v>166</v>
      </c>
      <c r="B1151">
        <v>72017</v>
      </c>
      <c r="C1151">
        <v>50</v>
      </c>
      <c r="D1151">
        <v>2</v>
      </c>
      <c r="E1151" s="7" t="s">
        <v>125</v>
      </c>
      <c r="F1151">
        <v>45</v>
      </c>
    </row>
    <row r="1152" spans="1:6" x14ac:dyDescent="0.2">
      <c r="A1152" s="7" t="s">
        <v>166</v>
      </c>
      <c r="B1152">
        <v>72017</v>
      </c>
      <c r="C1152">
        <v>51</v>
      </c>
      <c r="D1152">
        <v>2</v>
      </c>
      <c r="E1152" s="7" t="s">
        <v>125</v>
      </c>
      <c r="F1152">
        <v>128</v>
      </c>
    </row>
    <row r="1153" spans="1:6" x14ac:dyDescent="0.2">
      <c r="A1153" s="7" t="s">
        <v>166</v>
      </c>
      <c r="B1153">
        <v>72017</v>
      </c>
      <c r="C1153">
        <v>52</v>
      </c>
      <c r="D1153">
        <v>2</v>
      </c>
      <c r="E1153" s="7" t="s">
        <v>125</v>
      </c>
      <c r="F1153">
        <v>64</v>
      </c>
    </row>
    <row r="1154" spans="1:6" x14ac:dyDescent="0.2">
      <c r="A1154" s="7" t="s">
        <v>166</v>
      </c>
      <c r="B1154">
        <v>72017</v>
      </c>
      <c r="C1154">
        <v>53</v>
      </c>
      <c r="D1154">
        <v>2</v>
      </c>
      <c r="E1154" s="7" t="s">
        <v>125</v>
      </c>
      <c r="F1154">
        <v>45</v>
      </c>
    </row>
    <row r="1155" spans="1:6" x14ac:dyDescent="0.2">
      <c r="A1155" s="7" t="s">
        <v>166</v>
      </c>
      <c r="B1155">
        <v>72017</v>
      </c>
      <c r="C1155">
        <v>54</v>
      </c>
      <c r="D1155">
        <v>2</v>
      </c>
      <c r="E1155" s="7" t="s">
        <v>125</v>
      </c>
      <c r="F1155">
        <v>45</v>
      </c>
    </row>
    <row r="1156" spans="1:6" x14ac:dyDescent="0.2">
      <c r="A1156" s="7" t="s">
        <v>166</v>
      </c>
      <c r="B1156">
        <v>72017</v>
      </c>
      <c r="C1156">
        <v>55</v>
      </c>
      <c r="D1156">
        <v>2</v>
      </c>
      <c r="E1156" s="7" t="s">
        <v>125</v>
      </c>
      <c r="F1156">
        <v>90</v>
      </c>
    </row>
    <row r="1157" spans="1:6" x14ac:dyDescent="0.2">
      <c r="A1157" s="7" t="s">
        <v>166</v>
      </c>
      <c r="B1157">
        <v>72017</v>
      </c>
      <c r="C1157">
        <v>56</v>
      </c>
      <c r="D1157">
        <v>2</v>
      </c>
      <c r="E1157" s="7" t="s">
        <v>125</v>
      </c>
      <c r="F1157">
        <v>64</v>
      </c>
    </row>
    <row r="1158" spans="1:6" x14ac:dyDescent="0.2">
      <c r="A1158" s="7" t="s">
        <v>166</v>
      </c>
      <c r="B1158">
        <v>72017</v>
      </c>
      <c r="C1158">
        <v>57</v>
      </c>
      <c r="D1158">
        <v>2</v>
      </c>
      <c r="E1158" s="7" t="s">
        <v>125</v>
      </c>
      <c r="F1158">
        <v>8</v>
      </c>
    </row>
    <row r="1159" spans="1:6" x14ac:dyDescent="0.2">
      <c r="A1159" s="7" t="s">
        <v>166</v>
      </c>
      <c r="B1159">
        <v>72017</v>
      </c>
      <c r="C1159">
        <v>58</v>
      </c>
      <c r="D1159">
        <v>2</v>
      </c>
      <c r="E1159" s="7" t="s">
        <v>125</v>
      </c>
      <c r="F1159">
        <v>16</v>
      </c>
    </row>
    <row r="1160" spans="1:6" x14ac:dyDescent="0.2">
      <c r="A1160" s="7" t="s">
        <v>166</v>
      </c>
      <c r="B1160">
        <v>72017</v>
      </c>
      <c r="C1160">
        <v>59</v>
      </c>
      <c r="D1160">
        <v>2</v>
      </c>
      <c r="E1160" s="7" t="s">
        <v>125</v>
      </c>
      <c r="F1160">
        <v>180</v>
      </c>
    </row>
    <row r="1161" spans="1:6" x14ac:dyDescent="0.2">
      <c r="A1161" s="7" t="s">
        <v>166</v>
      </c>
      <c r="B1161">
        <v>72017</v>
      </c>
      <c r="C1161">
        <v>60</v>
      </c>
      <c r="D1161">
        <v>2</v>
      </c>
      <c r="E1161" s="7" t="s">
        <v>125</v>
      </c>
      <c r="F1161">
        <v>32</v>
      </c>
    </row>
    <row r="1162" spans="1:6" x14ac:dyDescent="0.2">
      <c r="A1162" s="7" t="s">
        <v>166</v>
      </c>
      <c r="B1162">
        <v>72017</v>
      </c>
      <c r="C1162">
        <v>61</v>
      </c>
      <c r="D1162">
        <v>2</v>
      </c>
      <c r="E1162" s="7" t="s">
        <v>125</v>
      </c>
      <c r="F1162">
        <v>64</v>
      </c>
    </row>
    <row r="1163" spans="1:6" x14ac:dyDescent="0.2">
      <c r="A1163" s="7" t="s">
        <v>166</v>
      </c>
      <c r="B1163">
        <v>72017</v>
      </c>
      <c r="C1163">
        <v>62</v>
      </c>
      <c r="D1163">
        <v>2</v>
      </c>
      <c r="E1163" s="7" t="s">
        <v>125</v>
      </c>
      <c r="F1163">
        <v>45</v>
      </c>
    </row>
    <row r="1164" spans="1:6" x14ac:dyDescent="0.2">
      <c r="A1164" s="7" t="s">
        <v>166</v>
      </c>
      <c r="B1164">
        <v>72017</v>
      </c>
      <c r="C1164">
        <v>63</v>
      </c>
      <c r="D1164">
        <v>2</v>
      </c>
      <c r="E1164" s="7" t="s">
        <v>125</v>
      </c>
      <c r="F1164">
        <v>90</v>
      </c>
    </row>
    <row r="1165" spans="1:6" x14ac:dyDescent="0.2">
      <c r="A1165" s="7" t="s">
        <v>166</v>
      </c>
      <c r="B1165">
        <v>72017</v>
      </c>
      <c r="C1165">
        <v>64</v>
      </c>
      <c r="D1165">
        <v>2</v>
      </c>
      <c r="E1165" s="7" t="s">
        <v>125</v>
      </c>
      <c r="F1165">
        <v>45</v>
      </c>
    </row>
    <row r="1166" spans="1:6" x14ac:dyDescent="0.2">
      <c r="A1166" s="7" t="s">
        <v>166</v>
      </c>
      <c r="B1166">
        <v>72017</v>
      </c>
      <c r="C1166">
        <v>65</v>
      </c>
      <c r="D1166">
        <v>2</v>
      </c>
      <c r="E1166" s="7" t="s">
        <v>125</v>
      </c>
      <c r="F1166">
        <v>32</v>
      </c>
    </row>
    <row r="1167" spans="1:6" x14ac:dyDescent="0.2">
      <c r="A1167" s="7" t="s">
        <v>166</v>
      </c>
      <c r="B1167">
        <v>72017</v>
      </c>
      <c r="C1167">
        <v>66</v>
      </c>
      <c r="D1167">
        <v>2</v>
      </c>
      <c r="E1167" s="7" t="s">
        <v>125</v>
      </c>
      <c r="F1167">
        <v>90</v>
      </c>
    </row>
    <row r="1168" spans="1:6" x14ac:dyDescent="0.2">
      <c r="A1168" s="7" t="s">
        <v>166</v>
      </c>
      <c r="B1168">
        <v>72017</v>
      </c>
      <c r="C1168">
        <v>67</v>
      </c>
      <c r="D1168">
        <v>2</v>
      </c>
      <c r="E1168" s="7" t="s">
        <v>125</v>
      </c>
      <c r="F1168">
        <v>45</v>
      </c>
    </row>
    <row r="1169" spans="1:6" x14ac:dyDescent="0.2">
      <c r="A1169" s="7" t="s">
        <v>166</v>
      </c>
      <c r="B1169">
        <v>72017</v>
      </c>
      <c r="C1169">
        <v>68</v>
      </c>
      <c r="D1169">
        <v>2</v>
      </c>
      <c r="E1169" s="7" t="s">
        <v>125</v>
      </c>
      <c r="F1169">
        <v>11</v>
      </c>
    </row>
    <row r="1170" spans="1:6" x14ac:dyDescent="0.2">
      <c r="A1170" s="7" t="s">
        <v>166</v>
      </c>
      <c r="B1170">
        <v>72017</v>
      </c>
      <c r="C1170">
        <v>69</v>
      </c>
      <c r="D1170">
        <v>2</v>
      </c>
      <c r="E1170" s="7" t="s">
        <v>125</v>
      </c>
      <c r="F1170">
        <v>45</v>
      </c>
    </row>
    <row r="1171" spans="1:6" x14ac:dyDescent="0.2">
      <c r="A1171" s="7" t="s">
        <v>166</v>
      </c>
      <c r="B1171">
        <v>72017</v>
      </c>
      <c r="C1171">
        <v>70</v>
      </c>
      <c r="D1171">
        <v>2</v>
      </c>
      <c r="E1171" s="7" t="s">
        <v>125</v>
      </c>
      <c r="F1171">
        <v>22.6</v>
      </c>
    </row>
    <row r="1172" spans="1:6" x14ac:dyDescent="0.2">
      <c r="A1172" s="7" t="s">
        <v>166</v>
      </c>
      <c r="B1172">
        <v>72017</v>
      </c>
      <c r="C1172">
        <v>71</v>
      </c>
      <c r="D1172">
        <v>2</v>
      </c>
      <c r="E1172" s="7" t="s">
        <v>125</v>
      </c>
      <c r="F1172">
        <v>90</v>
      </c>
    </row>
    <row r="1173" spans="1:6" x14ac:dyDescent="0.2">
      <c r="A1173" s="7" t="s">
        <v>166</v>
      </c>
      <c r="B1173">
        <v>72017</v>
      </c>
      <c r="C1173">
        <v>72</v>
      </c>
      <c r="D1173">
        <v>2</v>
      </c>
      <c r="E1173" s="7" t="s">
        <v>125</v>
      </c>
      <c r="F1173">
        <v>22.6</v>
      </c>
    </row>
    <row r="1174" spans="1:6" x14ac:dyDescent="0.2">
      <c r="A1174" s="7" t="s">
        <v>166</v>
      </c>
      <c r="B1174">
        <v>72017</v>
      </c>
      <c r="C1174">
        <v>73</v>
      </c>
      <c r="D1174">
        <v>2</v>
      </c>
      <c r="E1174" s="7" t="s">
        <v>125</v>
      </c>
      <c r="F1174">
        <v>22.6</v>
      </c>
    </row>
    <row r="1175" spans="1:6" x14ac:dyDescent="0.2">
      <c r="A1175" s="7" t="s">
        <v>166</v>
      </c>
      <c r="B1175">
        <v>72017</v>
      </c>
      <c r="C1175">
        <v>74</v>
      </c>
      <c r="D1175">
        <v>2</v>
      </c>
      <c r="E1175" s="7" t="s">
        <v>125</v>
      </c>
      <c r="F1175">
        <v>11</v>
      </c>
    </row>
    <row r="1176" spans="1:6" x14ac:dyDescent="0.2">
      <c r="A1176" s="7" t="s">
        <v>166</v>
      </c>
      <c r="B1176">
        <v>72017</v>
      </c>
      <c r="C1176">
        <v>75</v>
      </c>
      <c r="D1176">
        <v>2</v>
      </c>
      <c r="E1176" s="7" t="s">
        <v>125</v>
      </c>
      <c r="F1176">
        <v>16</v>
      </c>
    </row>
    <row r="1177" spans="1:6" x14ac:dyDescent="0.2">
      <c r="A1177" s="7" t="s">
        <v>166</v>
      </c>
      <c r="B1177">
        <v>72017</v>
      </c>
      <c r="C1177">
        <v>76</v>
      </c>
      <c r="D1177">
        <v>2</v>
      </c>
      <c r="E1177" s="7" t="s">
        <v>125</v>
      </c>
      <c r="F1177">
        <v>45</v>
      </c>
    </row>
    <row r="1178" spans="1:6" x14ac:dyDescent="0.2">
      <c r="A1178" s="7" t="s">
        <v>166</v>
      </c>
      <c r="B1178">
        <v>72017</v>
      </c>
      <c r="C1178">
        <v>77</v>
      </c>
      <c r="D1178">
        <v>2</v>
      </c>
      <c r="E1178" s="7" t="s">
        <v>125</v>
      </c>
      <c r="F1178">
        <v>64</v>
      </c>
    </row>
    <row r="1179" spans="1:6" x14ac:dyDescent="0.2">
      <c r="A1179" s="7" t="s">
        <v>166</v>
      </c>
      <c r="B1179">
        <v>72017</v>
      </c>
      <c r="C1179">
        <v>78</v>
      </c>
      <c r="D1179">
        <v>2</v>
      </c>
      <c r="E1179" s="7" t="s">
        <v>125</v>
      </c>
      <c r="F1179">
        <v>22.6</v>
      </c>
    </row>
    <row r="1180" spans="1:6" x14ac:dyDescent="0.2">
      <c r="A1180" s="7" t="s">
        <v>166</v>
      </c>
      <c r="B1180">
        <v>72017</v>
      </c>
      <c r="C1180">
        <v>79</v>
      </c>
      <c r="D1180">
        <v>2</v>
      </c>
      <c r="E1180" s="7" t="s">
        <v>125</v>
      </c>
      <c r="F1180">
        <v>11</v>
      </c>
    </row>
    <row r="1181" spans="1:6" x14ac:dyDescent="0.2">
      <c r="A1181" s="7" t="s">
        <v>166</v>
      </c>
      <c r="B1181">
        <v>72017</v>
      </c>
      <c r="C1181">
        <v>80</v>
      </c>
      <c r="D1181">
        <v>2</v>
      </c>
      <c r="E1181" s="7" t="s">
        <v>125</v>
      </c>
      <c r="F1181">
        <v>22.6</v>
      </c>
    </row>
    <row r="1182" spans="1:6" x14ac:dyDescent="0.2">
      <c r="A1182" s="7" t="s">
        <v>166</v>
      </c>
      <c r="B1182">
        <v>72017</v>
      </c>
      <c r="C1182">
        <v>81</v>
      </c>
      <c r="D1182">
        <v>2</v>
      </c>
      <c r="E1182" s="7" t="s">
        <v>125</v>
      </c>
      <c r="F1182">
        <v>22.6</v>
      </c>
    </row>
    <row r="1183" spans="1:6" x14ac:dyDescent="0.2">
      <c r="A1183" s="7" t="s">
        <v>166</v>
      </c>
      <c r="B1183">
        <v>72017</v>
      </c>
      <c r="C1183">
        <v>82</v>
      </c>
      <c r="D1183">
        <v>2</v>
      </c>
      <c r="E1183" s="7" t="s">
        <v>125</v>
      </c>
      <c r="F1183">
        <v>11</v>
      </c>
    </row>
    <row r="1184" spans="1:6" x14ac:dyDescent="0.2">
      <c r="A1184" s="7" t="s">
        <v>166</v>
      </c>
      <c r="B1184">
        <v>72017</v>
      </c>
      <c r="C1184">
        <v>83</v>
      </c>
      <c r="D1184">
        <v>2</v>
      </c>
      <c r="E1184" s="7" t="s">
        <v>125</v>
      </c>
      <c r="F1184">
        <v>16</v>
      </c>
    </row>
    <row r="1185" spans="1:6" x14ac:dyDescent="0.2">
      <c r="A1185" s="7" t="s">
        <v>166</v>
      </c>
      <c r="B1185">
        <v>72017</v>
      </c>
      <c r="C1185">
        <v>84</v>
      </c>
      <c r="D1185">
        <v>2</v>
      </c>
      <c r="E1185" s="7" t="s">
        <v>125</v>
      </c>
      <c r="F1185">
        <v>11</v>
      </c>
    </row>
    <row r="1186" spans="1:6" x14ac:dyDescent="0.2">
      <c r="A1186" s="7" t="s">
        <v>166</v>
      </c>
      <c r="B1186">
        <v>72017</v>
      </c>
      <c r="C1186">
        <v>85</v>
      </c>
      <c r="D1186">
        <v>2</v>
      </c>
      <c r="E1186" s="7" t="s">
        <v>125</v>
      </c>
      <c r="F1186">
        <v>64</v>
      </c>
    </row>
    <row r="1187" spans="1:6" x14ac:dyDescent="0.2">
      <c r="A1187" s="7" t="s">
        <v>166</v>
      </c>
      <c r="B1187">
        <v>72017</v>
      </c>
      <c r="C1187">
        <v>86</v>
      </c>
      <c r="D1187">
        <v>2</v>
      </c>
      <c r="E1187" s="7" t="s">
        <v>125</v>
      </c>
      <c r="F1187">
        <v>16</v>
      </c>
    </row>
    <row r="1188" spans="1:6" x14ac:dyDescent="0.2">
      <c r="A1188" s="7" t="s">
        <v>166</v>
      </c>
      <c r="B1188">
        <v>72017</v>
      </c>
      <c r="C1188">
        <v>87</v>
      </c>
      <c r="D1188">
        <v>2</v>
      </c>
      <c r="E1188" s="7" t="s">
        <v>125</v>
      </c>
      <c r="F1188">
        <v>45</v>
      </c>
    </row>
    <row r="1189" spans="1:6" x14ac:dyDescent="0.2">
      <c r="A1189" s="7" t="s">
        <v>166</v>
      </c>
      <c r="B1189">
        <v>72017</v>
      </c>
      <c r="C1189">
        <v>88</v>
      </c>
      <c r="D1189">
        <v>2</v>
      </c>
      <c r="E1189" s="7" t="s">
        <v>125</v>
      </c>
      <c r="F1189">
        <v>32</v>
      </c>
    </row>
    <row r="1190" spans="1:6" x14ac:dyDescent="0.2">
      <c r="A1190" s="7" t="s">
        <v>166</v>
      </c>
      <c r="B1190">
        <v>72017</v>
      </c>
      <c r="C1190">
        <v>89</v>
      </c>
      <c r="D1190">
        <v>3</v>
      </c>
      <c r="E1190" s="7" t="s">
        <v>125</v>
      </c>
      <c r="F1190">
        <v>11</v>
      </c>
    </row>
    <row r="1191" spans="1:6" x14ac:dyDescent="0.2">
      <c r="A1191" s="7" t="s">
        <v>166</v>
      </c>
      <c r="B1191">
        <v>72017</v>
      </c>
      <c r="C1191">
        <v>90</v>
      </c>
      <c r="D1191">
        <v>3</v>
      </c>
      <c r="E1191" s="7" t="s">
        <v>125</v>
      </c>
      <c r="F1191">
        <v>16</v>
      </c>
    </row>
    <row r="1192" spans="1:6" x14ac:dyDescent="0.2">
      <c r="A1192" s="7" t="s">
        <v>166</v>
      </c>
      <c r="B1192">
        <v>72017</v>
      </c>
      <c r="C1192">
        <v>91</v>
      </c>
      <c r="D1192">
        <v>3</v>
      </c>
      <c r="E1192" s="7" t="s">
        <v>125</v>
      </c>
      <c r="F1192">
        <v>45</v>
      </c>
    </row>
    <row r="1193" spans="1:6" x14ac:dyDescent="0.2">
      <c r="A1193" s="7" t="s">
        <v>166</v>
      </c>
      <c r="B1193">
        <v>72017</v>
      </c>
      <c r="C1193">
        <v>92</v>
      </c>
      <c r="D1193">
        <v>3</v>
      </c>
      <c r="E1193" s="7" t="s">
        <v>125</v>
      </c>
      <c r="F1193">
        <v>8</v>
      </c>
    </row>
    <row r="1194" spans="1:6" x14ac:dyDescent="0.2">
      <c r="A1194" s="7" t="s">
        <v>166</v>
      </c>
      <c r="B1194">
        <v>72017</v>
      </c>
      <c r="C1194">
        <v>93</v>
      </c>
      <c r="D1194">
        <v>3</v>
      </c>
      <c r="E1194" s="7" t="s">
        <v>125</v>
      </c>
      <c r="F1194">
        <v>32</v>
      </c>
    </row>
    <row r="1195" spans="1:6" x14ac:dyDescent="0.2">
      <c r="A1195" s="7" t="s">
        <v>166</v>
      </c>
      <c r="B1195">
        <v>72017</v>
      </c>
      <c r="C1195">
        <v>94</v>
      </c>
      <c r="D1195">
        <v>3</v>
      </c>
      <c r="E1195" s="7" t="s">
        <v>125</v>
      </c>
      <c r="F1195">
        <v>16</v>
      </c>
    </row>
    <row r="1196" spans="1:6" x14ac:dyDescent="0.2">
      <c r="A1196" s="7" t="s">
        <v>166</v>
      </c>
      <c r="B1196">
        <v>72017</v>
      </c>
      <c r="C1196">
        <v>95</v>
      </c>
      <c r="D1196">
        <v>3</v>
      </c>
      <c r="E1196" s="7" t="s">
        <v>125</v>
      </c>
      <c r="F1196">
        <v>11</v>
      </c>
    </row>
    <row r="1197" spans="1:6" x14ac:dyDescent="0.2">
      <c r="A1197" s="7" t="s">
        <v>166</v>
      </c>
      <c r="B1197">
        <v>72017</v>
      </c>
      <c r="C1197">
        <v>96</v>
      </c>
      <c r="D1197">
        <v>3</v>
      </c>
      <c r="E1197" s="7" t="s">
        <v>125</v>
      </c>
      <c r="F1197">
        <v>16</v>
      </c>
    </row>
    <row r="1198" spans="1:6" x14ac:dyDescent="0.2">
      <c r="A1198" s="7" t="s">
        <v>166</v>
      </c>
      <c r="B1198">
        <v>72017</v>
      </c>
      <c r="C1198">
        <v>97</v>
      </c>
      <c r="D1198">
        <v>3</v>
      </c>
      <c r="E1198" s="7" t="s">
        <v>125</v>
      </c>
      <c r="F1198">
        <v>22.6</v>
      </c>
    </row>
    <row r="1199" spans="1:6" x14ac:dyDescent="0.2">
      <c r="A1199" s="7" t="s">
        <v>166</v>
      </c>
      <c r="B1199">
        <v>72017</v>
      </c>
      <c r="C1199">
        <v>98</v>
      </c>
      <c r="D1199">
        <v>3</v>
      </c>
      <c r="E1199" s="7" t="s">
        <v>125</v>
      </c>
      <c r="F1199">
        <v>32</v>
      </c>
    </row>
    <row r="1200" spans="1:6" x14ac:dyDescent="0.2">
      <c r="A1200" s="7" t="s">
        <v>166</v>
      </c>
      <c r="B1200">
        <v>72017</v>
      </c>
      <c r="C1200">
        <v>99</v>
      </c>
      <c r="D1200">
        <v>3</v>
      </c>
      <c r="E1200" s="7" t="s">
        <v>125</v>
      </c>
      <c r="F1200">
        <v>45</v>
      </c>
    </row>
    <row r="1201" spans="1:7" x14ac:dyDescent="0.2">
      <c r="A1201" s="7" t="s">
        <v>166</v>
      </c>
      <c r="B1201">
        <v>72017</v>
      </c>
      <c r="C1201">
        <v>100</v>
      </c>
      <c r="D1201">
        <v>3</v>
      </c>
      <c r="E1201" s="7" t="s">
        <v>125</v>
      </c>
      <c r="F1201">
        <v>5.6</v>
      </c>
    </row>
    <row r="1202" spans="1:7" x14ac:dyDescent="0.2">
      <c r="A1202" s="7" t="s">
        <v>164</v>
      </c>
      <c r="B1202">
        <v>72017</v>
      </c>
      <c r="C1202" s="7">
        <v>1</v>
      </c>
      <c r="D1202">
        <v>1</v>
      </c>
      <c r="E1202" s="7" t="s">
        <v>200</v>
      </c>
      <c r="F1202" s="7">
        <v>22.6</v>
      </c>
    </row>
    <row r="1203" spans="1:7" x14ac:dyDescent="0.2">
      <c r="A1203" s="7" t="s">
        <v>164</v>
      </c>
      <c r="B1203">
        <v>72017</v>
      </c>
      <c r="C1203">
        <v>2</v>
      </c>
      <c r="D1203" s="7" t="s">
        <v>106</v>
      </c>
      <c r="E1203" s="7" t="s">
        <v>200</v>
      </c>
      <c r="F1203" s="7" t="s">
        <v>115</v>
      </c>
      <c r="G1203" s="7" t="s">
        <v>202</v>
      </c>
    </row>
    <row r="1204" spans="1:7" x14ac:dyDescent="0.2">
      <c r="A1204" s="7" t="s">
        <v>164</v>
      </c>
      <c r="B1204">
        <v>72017</v>
      </c>
      <c r="C1204">
        <v>3</v>
      </c>
      <c r="D1204" s="7" t="s">
        <v>106</v>
      </c>
      <c r="E1204" s="7" t="s">
        <v>200</v>
      </c>
      <c r="F1204" s="7">
        <v>128</v>
      </c>
      <c r="G1204" s="7" t="s">
        <v>202</v>
      </c>
    </row>
    <row r="1205" spans="1:7" x14ac:dyDescent="0.2">
      <c r="A1205" s="7" t="s">
        <v>164</v>
      </c>
      <c r="B1205">
        <v>72017</v>
      </c>
      <c r="C1205" s="7">
        <v>4</v>
      </c>
      <c r="D1205" s="7" t="s">
        <v>106</v>
      </c>
      <c r="E1205" s="7" t="s">
        <v>200</v>
      </c>
      <c r="F1205" s="7">
        <v>32</v>
      </c>
      <c r="G1205" s="7" t="s">
        <v>202</v>
      </c>
    </row>
    <row r="1206" spans="1:7" x14ac:dyDescent="0.2">
      <c r="A1206" s="7" t="s">
        <v>164</v>
      </c>
      <c r="B1206">
        <v>72017</v>
      </c>
      <c r="C1206">
        <v>5</v>
      </c>
      <c r="D1206" s="7" t="s">
        <v>106</v>
      </c>
      <c r="E1206" s="7" t="s">
        <v>200</v>
      </c>
      <c r="F1206" s="7" t="s">
        <v>115</v>
      </c>
      <c r="G1206" s="7" t="s">
        <v>202</v>
      </c>
    </row>
    <row r="1207" spans="1:7" x14ac:dyDescent="0.2">
      <c r="A1207" s="7" t="s">
        <v>164</v>
      </c>
      <c r="B1207">
        <v>72017</v>
      </c>
      <c r="C1207">
        <v>6</v>
      </c>
      <c r="D1207" s="7" t="s">
        <v>106</v>
      </c>
      <c r="E1207" s="7" t="s">
        <v>200</v>
      </c>
      <c r="F1207" s="7">
        <v>90</v>
      </c>
      <c r="G1207" s="7" t="s">
        <v>202</v>
      </c>
    </row>
    <row r="1208" spans="1:7" x14ac:dyDescent="0.2">
      <c r="A1208" s="7" t="s">
        <v>164</v>
      </c>
      <c r="B1208">
        <v>72017</v>
      </c>
      <c r="C1208" s="7">
        <v>7</v>
      </c>
      <c r="D1208" s="7" t="s">
        <v>106</v>
      </c>
      <c r="E1208" s="7" t="s">
        <v>200</v>
      </c>
      <c r="F1208" s="7" t="s">
        <v>115</v>
      </c>
      <c r="G1208" s="7" t="s">
        <v>202</v>
      </c>
    </row>
    <row r="1209" spans="1:7" x14ac:dyDescent="0.2">
      <c r="A1209" s="7" t="s">
        <v>164</v>
      </c>
      <c r="B1209">
        <v>72017</v>
      </c>
      <c r="C1209">
        <v>8</v>
      </c>
      <c r="D1209" s="7" t="s">
        <v>106</v>
      </c>
      <c r="E1209" s="7" t="s">
        <v>200</v>
      </c>
      <c r="F1209" s="7">
        <v>128</v>
      </c>
      <c r="G1209" s="7" t="s">
        <v>202</v>
      </c>
    </row>
    <row r="1210" spans="1:7" x14ac:dyDescent="0.2">
      <c r="A1210" s="7" t="s">
        <v>164</v>
      </c>
      <c r="B1210">
        <v>72017</v>
      </c>
      <c r="C1210">
        <v>9</v>
      </c>
      <c r="D1210" s="7" t="s">
        <v>106</v>
      </c>
      <c r="E1210" s="7" t="s">
        <v>200</v>
      </c>
      <c r="F1210" s="7" t="s">
        <v>115</v>
      </c>
      <c r="G1210" s="7" t="s">
        <v>202</v>
      </c>
    </row>
    <row r="1211" spans="1:7" x14ac:dyDescent="0.2">
      <c r="A1211" s="7" t="s">
        <v>164</v>
      </c>
      <c r="B1211">
        <v>72017</v>
      </c>
      <c r="C1211" s="7">
        <v>10</v>
      </c>
      <c r="D1211" s="7" t="s">
        <v>106</v>
      </c>
      <c r="E1211" s="7" t="s">
        <v>200</v>
      </c>
      <c r="F1211">
        <v>128</v>
      </c>
      <c r="G1211" s="7" t="s">
        <v>202</v>
      </c>
    </row>
    <row r="1212" spans="1:7" x14ac:dyDescent="0.2">
      <c r="A1212" s="7" t="s">
        <v>164</v>
      </c>
      <c r="B1212">
        <v>72017</v>
      </c>
      <c r="C1212">
        <v>11</v>
      </c>
      <c r="D1212" s="7" t="s">
        <v>106</v>
      </c>
      <c r="E1212" s="7" t="s">
        <v>127</v>
      </c>
      <c r="F1212" s="7" t="s">
        <v>115</v>
      </c>
      <c r="G1212" s="7" t="s">
        <v>202</v>
      </c>
    </row>
    <row r="1213" spans="1:7" x14ac:dyDescent="0.2">
      <c r="A1213" s="7" t="s">
        <v>164</v>
      </c>
      <c r="B1213">
        <v>72017</v>
      </c>
      <c r="C1213">
        <v>12</v>
      </c>
      <c r="D1213" s="7" t="s">
        <v>106</v>
      </c>
      <c r="E1213" s="7" t="s">
        <v>127</v>
      </c>
      <c r="F1213">
        <v>32</v>
      </c>
      <c r="G1213" s="7" t="s">
        <v>202</v>
      </c>
    </row>
    <row r="1214" spans="1:7" x14ac:dyDescent="0.2">
      <c r="A1214" s="7" t="s">
        <v>164</v>
      </c>
      <c r="B1214">
        <v>72017</v>
      </c>
      <c r="C1214" s="7">
        <v>13</v>
      </c>
      <c r="D1214" s="7" t="s">
        <v>106</v>
      </c>
      <c r="E1214" s="7" t="s">
        <v>127</v>
      </c>
      <c r="F1214">
        <v>32</v>
      </c>
      <c r="G1214" s="7" t="s">
        <v>202</v>
      </c>
    </row>
    <row r="1215" spans="1:7" x14ac:dyDescent="0.2">
      <c r="A1215" s="7" t="s">
        <v>164</v>
      </c>
      <c r="B1215">
        <v>72017</v>
      </c>
      <c r="C1215">
        <v>14</v>
      </c>
      <c r="D1215" s="7" t="s">
        <v>106</v>
      </c>
      <c r="E1215" s="7" t="s">
        <v>127</v>
      </c>
      <c r="F1215">
        <v>128</v>
      </c>
      <c r="G1215" s="7" t="s">
        <v>202</v>
      </c>
    </row>
    <row r="1216" spans="1:7" x14ac:dyDescent="0.2">
      <c r="A1216" s="7" t="s">
        <v>164</v>
      </c>
      <c r="B1216">
        <v>72017</v>
      </c>
      <c r="C1216">
        <v>15</v>
      </c>
      <c r="D1216" s="7" t="s">
        <v>106</v>
      </c>
      <c r="E1216" s="7" t="s">
        <v>127</v>
      </c>
      <c r="F1216" s="7" t="s">
        <v>115</v>
      </c>
      <c r="G1216" s="7" t="s">
        <v>202</v>
      </c>
    </row>
    <row r="1217" spans="1:7" x14ac:dyDescent="0.2">
      <c r="A1217" s="7" t="s">
        <v>164</v>
      </c>
      <c r="B1217">
        <v>72017</v>
      </c>
      <c r="C1217" s="7">
        <v>16</v>
      </c>
      <c r="D1217" s="7" t="s">
        <v>106</v>
      </c>
      <c r="E1217" s="7" t="s">
        <v>127</v>
      </c>
      <c r="F1217" s="7" t="s">
        <v>115</v>
      </c>
      <c r="G1217" s="7" t="s">
        <v>202</v>
      </c>
    </row>
    <row r="1218" spans="1:7" x14ac:dyDescent="0.2">
      <c r="A1218" s="7" t="s">
        <v>164</v>
      </c>
      <c r="B1218">
        <v>72017</v>
      </c>
      <c r="C1218">
        <v>17</v>
      </c>
      <c r="D1218" s="7" t="s">
        <v>106</v>
      </c>
      <c r="E1218" s="7" t="s">
        <v>127</v>
      </c>
      <c r="F1218" s="7">
        <v>45</v>
      </c>
      <c r="G1218" s="7" t="s">
        <v>202</v>
      </c>
    </row>
    <row r="1219" spans="1:7" x14ac:dyDescent="0.2">
      <c r="A1219" s="7" t="s">
        <v>164</v>
      </c>
      <c r="B1219">
        <v>72017</v>
      </c>
      <c r="C1219">
        <v>18</v>
      </c>
      <c r="D1219" s="7" t="s">
        <v>106</v>
      </c>
      <c r="E1219" s="7" t="s">
        <v>127</v>
      </c>
      <c r="F1219" s="7">
        <v>45</v>
      </c>
      <c r="G1219" s="7" t="s">
        <v>202</v>
      </c>
    </row>
    <row r="1220" spans="1:7" x14ac:dyDescent="0.2">
      <c r="A1220" s="7" t="s">
        <v>164</v>
      </c>
      <c r="B1220">
        <v>72017</v>
      </c>
      <c r="C1220" s="7">
        <v>19</v>
      </c>
      <c r="D1220" s="7" t="s">
        <v>106</v>
      </c>
      <c r="E1220" s="7" t="s">
        <v>127</v>
      </c>
      <c r="F1220" s="7" t="s">
        <v>115</v>
      </c>
      <c r="G1220" s="7" t="s">
        <v>202</v>
      </c>
    </row>
    <row r="1221" spans="1:7" x14ac:dyDescent="0.2">
      <c r="A1221" s="7" t="s">
        <v>164</v>
      </c>
      <c r="B1221">
        <v>72017</v>
      </c>
      <c r="C1221">
        <v>20</v>
      </c>
      <c r="D1221" s="7" t="s">
        <v>106</v>
      </c>
      <c r="E1221" s="7" t="s">
        <v>127</v>
      </c>
      <c r="F1221">
        <v>8</v>
      </c>
      <c r="G1221" s="7" t="s">
        <v>202</v>
      </c>
    </row>
    <row r="1222" spans="1:7" x14ac:dyDescent="0.2">
      <c r="A1222" s="7" t="s">
        <v>164</v>
      </c>
      <c r="B1222">
        <v>72017</v>
      </c>
      <c r="C1222">
        <v>21</v>
      </c>
      <c r="D1222" s="7" t="s">
        <v>106</v>
      </c>
      <c r="E1222" s="7" t="s">
        <v>127</v>
      </c>
      <c r="F1222">
        <v>90</v>
      </c>
      <c r="G1222" s="7" t="s">
        <v>202</v>
      </c>
    </row>
    <row r="1223" spans="1:7" x14ac:dyDescent="0.2">
      <c r="A1223" s="7" t="s">
        <v>164</v>
      </c>
      <c r="B1223">
        <v>72017</v>
      </c>
      <c r="C1223" s="7">
        <v>22</v>
      </c>
      <c r="D1223" s="7" t="s">
        <v>106</v>
      </c>
      <c r="E1223" s="7" t="s">
        <v>127</v>
      </c>
      <c r="F1223">
        <v>32</v>
      </c>
      <c r="G1223" s="7" t="s">
        <v>202</v>
      </c>
    </row>
    <row r="1224" spans="1:7" x14ac:dyDescent="0.2">
      <c r="A1224" s="7" t="s">
        <v>164</v>
      </c>
      <c r="B1224">
        <v>72017</v>
      </c>
      <c r="C1224">
        <v>23</v>
      </c>
      <c r="D1224" s="7" t="s">
        <v>106</v>
      </c>
      <c r="E1224" s="7" t="s">
        <v>127</v>
      </c>
      <c r="F1224">
        <v>45</v>
      </c>
      <c r="G1224" s="7" t="s">
        <v>202</v>
      </c>
    </row>
    <row r="1225" spans="1:7" x14ac:dyDescent="0.2">
      <c r="A1225" s="7" t="s">
        <v>164</v>
      </c>
      <c r="B1225">
        <v>72017</v>
      </c>
      <c r="C1225">
        <v>24</v>
      </c>
      <c r="D1225" s="7" t="s">
        <v>106</v>
      </c>
      <c r="E1225" s="7" t="s">
        <v>127</v>
      </c>
      <c r="F1225" s="7" t="s">
        <v>115</v>
      </c>
      <c r="G1225" s="7" t="s">
        <v>202</v>
      </c>
    </row>
    <row r="1226" spans="1:7" x14ac:dyDescent="0.2">
      <c r="A1226" s="7" t="s">
        <v>164</v>
      </c>
      <c r="B1226">
        <v>72017</v>
      </c>
      <c r="C1226" s="7">
        <v>25</v>
      </c>
      <c r="D1226" s="7" t="s">
        <v>106</v>
      </c>
      <c r="E1226" s="7" t="s">
        <v>200</v>
      </c>
      <c r="F1226" s="7" t="s">
        <v>115</v>
      </c>
      <c r="G1226" s="7" t="s">
        <v>202</v>
      </c>
    </row>
    <row r="1227" spans="1:7" x14ac:dyDescent="0.2">
      <c r="A1227" s="7" t="s">
        <v>164</v>
      </c>
      <c r="B1227">
        <v>72017</v>
      </c>
      <c r="C1227">
        <v>26</v>
      </c>
      <c r="D1227" s="7" t="s">
        <v>106</v>
      </c>
      <c r="E1227" s="7" t="s">
        <v>200</v>
      </c>
      <c r="F1227" s="7">
        <v>64</v>
      </c>
      <c r="G1227" s="7" t="s">
        <v>202</v>
      </c>
    </row>
    <row r="1228" spans="1:7" x14ac:dyDescent="0.2">
      <c r="A1228" s="7" t="s">
        <v>164</v>
      </c>
      <c r="B1228">
        <v>72017</v>
      </c>
      <c r="C1228">
        <v>27</v>
      </c>
      <c r="D1228" s="7" t="s">
        <v>106</v>
      </c>
      <c r="E1228" s="7" t="s">
        <v>200</v>
      </c>
      <c r="F1228" s="7" t="s">
        <v>115</v>
      </c>
      <c r="G1228" s="7" t="s">
        <v>202</v>
      </c>
    </row>
    <row r="1229" spans="1:7" x14ac:dyDescent="0.2">
      <c r="A1229" s="7" t="s">
        <v>164</v>
      </c>
      <c r="B1229">
        <v>72017</v>
      </c>
      <c r="C1229" s="7">
        <v>28</v>
      </c>
      <c r="D1229" s="7" t="s">
        <v>106</v>
      </c>
      <c r="E1229" s="7" t="s">
        <v>200</v>
      </c>
      <c r="F1229">
        <v>32</v>
      </c>
      <c r="G1229" s="7" t="s">
        <v>202</v>
      </c>
    </row>
    <row r="1230" spans="1:7" x14ac:dyDescent="0.2">
      <c r="A1230" s="7" t="s">
        <v>164</v>
      </c>
      <c r="B1230">
        <v>72017</v>
      </c>
      <c r="C1230">
        <v>29</v>
      </c>
      <c r="D1230" s="7" t="s">
        <v>106</v>
      </c>
      <c r="E1230" s="7" t="s">
        <v>200</v>
      </c>
      <c r="F1230">
        <v>16</v>
      </c>
      <c r="G1230" s="7" t="s">
        <v>202</v>
      </c>
    </row>
    <row r="1231" spans="1:7" x14ac:dyDescent="0.2">
      <c r="A1231" s="7" t="s">
        <v>164</v>
      </c>
      <c r="B1231">
        <v>72017</v>
      </c>
      <c r="C1231">
        <v>30</v>
      </c>
      <c r="D1231" s="7" t="s">
        <v>106</v>
      </c>
      <c r="E1231" s="7" t="s">
        <v>200</v>
      </c>
      <c r="F1231" s="7" t="s">
        <v>115</v>
      </c>
      <c r="G1231" s="7" t="s">
        <v>202</v>
      </c>
    </row>
    <row r="1232" spans="1:7" x14ac:dyDescent="0.2">
      <c r="A1232" s="7" t="s">
        <v>164</v>
      </c>
      <c r="B1232">
        <v>72017</v>
      </c>
      <c r="C1232" s="7">
        <v>31</v>
      </c>
      <c r="D1232" s="7" t="s">
        <v>106</v>
      </c>
      <c r="E1232" s="7" t="s">
        <v>200</v>
      </c>
      <c r="F1232" s="7">
        <v>32</v>
      </c>
      <c r="G1232" s="7" t="s">
        <v>202</v>
      </c>
    </row>
    <row r="1233" spans="1:7" x14ac:dyDescent="0.2">
      <c r="A1233" s="7" t="s">
        <v>164</v>
      </c>
      <c r="B1233">
        <v>72017</v>
      </c>
      <c r="C1233">
        <v>32</v>
      </c>
      <c r="D1233" s="7" t="s">
        <v>106</v>
      </c>
      <c r="E1233" s="7" t="s">
        <v>200</v>
      </c>
      <c r="F1233" s="7">
        <v>90</v>
      </c>
      <c r="G1233" s="7" t="s">
        <v>202</v>
      </c>
    </row>
    <row r="1234" spans="1:7" x14ac:dyDescent="0.2">
      <c r="A1234" s="7" t="s">
        <v>164</v>
      </c>
      <c r="B1234">
        <v>72017</v>
      </c>
      <c r="C1234">
        <v>33</v>
      </c>
      <c r="D1234">
        <v>3</v>
      </c>
      <c r="E1234" s="7" t="s">
        <v>200</v>
      </c>
      <c r="F1234" s="7">
        <v>45</v>
      </c>
    </row>
    <row r="1235" spans="1:7" x14ac:dyDescent="0.2">
      <c r="A1235" s="7" t="s">
        <v>164</v>
      </c>
      <c r="B1235">
        <v>72017</v>
      </c>
      <c r="C1235" s="7">
        <v>34</v>
      </c>
      <c r="D1235" s="7" t="s">
        <v>106</v>
      </c>
      <c r="E1235" s="7" t="s">
        <v>200</v>
      </c>
      <c r="F1235" s="7">
        <v>90</v>
      </c>
      <c r="G1235" s="7" t="s">
        <v>202</v>
      </c>
    </row>
    <row r="1236" spans="1:7" x14ac:dyDescent="0.2">
      <c r="A1236" s="7" t="s">
        <v>164</v>
      </c>
      <c r="B1236">
        <v>72017</v>
      </c>
      <c r="C1236">
        <v>35</v>
      </c>
      <c r="D1236" s="7" t="s">
        <v>106</v>
      </c>
      <c r="E1236" s="7" t="s">
        <v>200</v>
      </c>
      <c r="F1236" s="7">
        <v>45</v>
      </c>
      <c r="G1236" s="7" t="s">
        <v>202</v>
      </c>
    </row>
    <row r="1237" spans="1:7" x14ac:dyDescent="0.2">
      <c r="A1237" s="7" t="s">
        <v>164</v>
      </c>
      <c r="B1237">
        <v>72017</v>
      </c>
      <c r="C1237">
        <v>36</v>
      </c>
      <c r="D1237" s="7" t="s">
        <v>106</v>
      </c>
      <c r="E1237" s="7" t="s">
        <v>200</v>
      </c>
      <c r="F1237" s="7">
        <v>90</v>
      </c>
      <c r="G1237" s="7" t="s">
        <v>202</v>
      </c>
    </row>
    <row r="1238" spans="1:7" x14ac:dyDescent="0.2">
      <c r="A1238" s="7" t="s">
        <v>164</v>
      </c>
      <c r="B1238">
        <v>72017</v>
      </c>
      <c r="C1238" s="7">
        <v>37</v>
      </c>
      <c r="D1238" s="7" t="s">
        <v>106</v>
      </c>
      <c r="E1238" s="7" t="s">
        <v>200</v>
      </c>
      <c r="F1238" s="7" t="s">
        <v>115</v>
      </c>
      <c r="G1238" s="7" t="s">
        <v>202</v>
      </c>
    </row>
    <row r="1239" spans="1:7" x14ac:dyDescent="0.2">
      <c r="A1239" s="7" t="s">
        <v>164</v>
      </c>
      <c r="B1239">
        <v>72017</v>
      </c>
      <c r="C1239">
        <v>38</v>
      </c>
      <c r="D1239" s="7" t="s">
        <v>106</v>
      </c>
      <c r="E1239" s="7" t="s">
        <v>200</v>
      </c>
      <c r="F1239" s="7">
        <v>90</v>
      </c>
      <c r="G1239" s="7" t="s">
        <v>202</v>
      </c>
    </row>
    <row r="1240" spans="1:7" x14ac:dyDescent="0.2">
      <c r="A1240" s="7" t="s">
        <v>164</v>
      </c>
      <c r="B1240">
        <v>72017</v>
      </c>
      <c r="C1240">
        <v>39</v>
      </c>
      <c r="D1240" s="7" t="s">
        <v>106</v>
      </c>
      <c r="E1240" s="7" t="s">
        <v>200</v>
      </c>
      <c r="F1240" s="7">
        <v>180</v>
      </c>
      <c r="G1240" s="7" t="s">
        <v>202</v>
      </c>
    </row>
    <row r="1241" spans="1:7" x14ac:dyDescent="0.2">
      <c r="A1241" s="7" t="s">
        <v>164</v>
      </c>
      <c r="B1241">
        <v>72017</v>
      </c>
      <c r="C1241" s="7">
        <v>40</v>
      </c>
      <c r="D1241" s="7" t="s">
        <v>106</v>
      </c>
      <c r="E1241" s="7" t="s">
        <v>200</v>
      </c>
      <c r="F1241" s="7" t="s">
        <v>115</v>
      </c>
      <c r="G1241" s="7" t="s">
        <v>202</v>
      </c>
    </row>
    <row r="1242" spans="1:7" x14ac:dyDescent="0.2">
      <c r="A1242" s="7" t="s">
        <v>164</v>
      </c>
      <c r="B1242">
        <v>72017</v>
      </c>
      <c r="C1242">
        <v>41</v>
      </c>
      <c r="D1242" s="7" t="s">
        <v>106</v>
      </c>
      <c r="E1242" s="7" t="s">
        <v>127</v>
      </c>
      <c r="F1242" s="7" t="s">
        <v>115</v>
      </c>
      <c r="G1242" s="7" t="s">
        <v>202</v>
      </c>
    </row>
    <row r="1243" spans="1:7" x14ac:dyDescent="0.2">
      <c r="A1243" s="7" t="s">
        <v>164</v>
      </c>
      <c r="B1243">
        <v>72017</v>
      </c>
      <c r="C1243">
        <v>42</v>
      </c>
      <c r="D1243" s="7" t="s">
        <v>106</v>
      </c>
      <c r="E1243" s="7" t="s">
        <v>127</v>
      </c>
      <c r="F1243" s="7" t="s">
        <v>115</v>
      </c>
      <c r="G1243" s="7" t="s">
        <v>202</v>
      </c>
    </row>
    <row r="1244" spans="1:7" x14ac:dyDescent="0.2">
      <c r="A1244" s="7" t="s">
        <v>164</v>
      </c>
      <c r="B1244">
        <v>72017</v>
      </c>
      <c r="C1244" s="7">
        <v>43</v>
      </c>
      <c r="D1244" s="7" t="s">
        <v>106</v>
      </c>
      <c r="E1244" s="7" t="s">
        <v>127</v>
      </c>
      <c r="F1244" s="7" t="s">
        <v>115</v>
      </c>
      <c r="G1244" s="7" t="s">
        <v>202</v>
      </c>
    </row>
    <row r="1245" spans="1:7" x14ac:dyDescent="0.2">
      <c r="A1245" s="7" t="s">
        <v>164</v>
      </c>
      <c r="B1245">
        <v>72017</v>
      </c>
      <c r="C1245">
        <v>44</v>
      </c>
      <c r="D1245" s="7" t="s">
        <v>106</v>
      </c>
      <c r="E1245" s="7" t="s">
        <v>127</v>
      </c>
      <c r="F1245" s="7" t="s">
        <v>115</v>
      </c>
      <c r="G1245" s="7" t="s">
        <v>202</v>
      </c>
    </row>
    <row r="1246" spans="1:7" x14ac:dyDescent="0.2">
      <c r="A1246" s="7" t="s">
        <v>164</v>
      </c>
      <c r="B1246">
        <v>72017</v>
      </c>
      <c r="C1246">
        <v>45</v>
      </c>
      <c r="D1246" s="7" t="s">
        <v>106</v>
      </c>
      <c r="E1246" s="7" t="s">
        <v>127</v>
      </c>
      <c r="F1246">
        <v>90</v>
      </c>
      <c r="G1246" s="7" t="s">
        <v>202</v>
      </c>
    </row>
    <row r="1247" spans="1:7" x14ac:dyDescent="0.2">
      <c r="A1247" s="7" t="s">
        <v>164</v>
      </c>
      <c r="B1247">
        <v>72017</v>
      </c>
      <c r="C1247" s="7">
        <v>46</v>
      </c>
      <c r="D1247" s="7" t="s">
        <v>106</v>
      </c>
      <c r="E1247" s="7" t="s">
        <v>127</v>
      </c>
      <c r="F1247">
        <v>45</v>
      </c>
      <c r="G1247" s="7" t="s">
        <v>202</v>
      </c>
    </row>
    <row r="1248" spans="1:7" x14ac:dyDescent="0.2">
      <c r="A1248" s="7" t="s">
        <v>164</v>
      </c>
      <c r="B1248">
        <v>72017</v>
      </c>
      <c r="C1248">
        <v>47</v>
      </c>
      <c r="D1248" s="7" t="s">
        <v>106</v>
      </c>
      <c r="E1248" s="7" t="s">
        <v>127</v>
      </c>
      <c r="F1248">
        <v>22.6</v>
      </c>
      <c r="G1248" s="7" t="s">
        <v>202</v>
      </c>
    </row>
    <row r="1249" spans="1:7" x14ac:dyDescent="0.2">
      <c r="A1249" s="7" t="s">
        <v>164</v>
      </c>
      <c r="B1249">
        <v>72017</v>
      </c>
      <c r="C1249">
        <v>48</v>
      </c>
      <c r="D1249" s="7" t="s">
        <v>106</v>
      </c>
      <c r="E1249" s="7" t="s">
        <v>127</v>
      </c>
      <c r="F1249">
        <v>45</v>
      </c>
      <c r="G1249" s="7" t="s">
        <v>202</v>
      </c>
    </row>
    <row r="1250" spans="1:7" x14ac:dyDescent="0.2">
      <c r="A1250" s="7" t="s">
        <v>164</v>
      </c>
      <c r="B1250">
        <v>72017</v>
      </c>
      <c r="C1250" s="7">
        <v>49</v>
      </c>
      <c r="D1250" s="7" t="s">
        <v>106</v>
      </c>
      <c r="E1250" s="7" t="s">
        <v>127</v>
      </c>
      <c r="F1250">
        <v>16</v>
      </c>
      <c r="G1250" s="7" t="s">
        <v>202</v>
      </c>
    </row>
    <row r="1251" spans="1:7" x14ac:dyDescent="0.2">
      <c r="A1251" s="7" t="s">
        <v>164</v>
      </c>
      <c r="B1251">
        <v>72017</v>
      </c>
      <c r="C1251">
        <v>50</v>
      </c>
      <c r="D1251" s="7" t="s">
        <v>106</v>
      </c>
      <c r="E1251" s="7" t="s">
        <v>127</v>
      </c>
      <c r="F1251">
        <v>90</v>
      </c>
      <c r="G1251" s="7" t="s">
        <v>202</v>
      </c>
    </row>
    <row r="1252" spans="1:7" x14ac:dyDescent="0.2">
      <c r="A1252" s="7" t="s">
        <v>164</v>
      </c>
      <c r="B1252">
        <v>72017</v>
      </c>
      <c r="C1252">
        <v>51</v>
      </c>
      <c r="D1252" s="7" t="s">
        <v>106</v>
      </c>
      <c r="E1252" s="7" t="s">
        <v>127</v>
      </c>
      <c r="F1252">
        <v>64</v>
      </c>
      <c r="G1252" s="7" t="s">
        <v>202</v>
      </c>
    </row>
    <row r="1253" spans="1:7" x14ac:dyDescent="0.2">
      <c r="A1253" s="7" t="s">
        <v>164</v>
      </c>
      <c r="B1253">
        <v>72017</v>
      </c>
      <c r="C1253" s="7">
        <v>52</v>
      </c>
      <c r="D1253" s="7" t="s">
        <v>106</v>
      </c>
      <c r="E1253" s="7" t="s">
        <v>127</v>
      </c>
      <c r="F1253">
        <v>5.6</v>
      </c>
      <c r="G1253" s="7" t="s">
        <v>202</v>
      </c>
    </row>
    <row r="1254" spans="1:7" x14ac:dyDescent="0.2">
      <c r="A1254" s="7" t="s">
        <v>164</v>
      </c>
      <c r="B1254">
        <v>72017</v>
      </c>
      <c r="C1254">
        <v>53</v>
      </c>
      <c r="D1254" s="7" t="s">
        <v>106</v>
      </c>
      <c r="E1254" s="7" t="s">
        <v>127</v>
      </c>
      <c r="F1254">
        <v>11</v>
      </c>
      <c r="G1254" s="7" t="s">
        <v>202</v>
      </c>
    </row>
    <row r="1255" spans="1:7" x14ac:dyDescent="0.2">
      <c r="A1255" s="7" t="s">
        <v>164</v>
      </c>
      <c r="B1255">
        <v>72017</v>
      </c>
      <c r="C1255">
        <v>54</v>
      </c>
      <c r="D1255" s="7" t="s">
        <v>106</v>
      </c>
      <c r="E1255" s="7" t="s">
        <v>127</v>
      </c>
      <c r="F1255" s="7" t="s">
        <v>115</v>
      </c>
      <c r="G1255" s="7" t="s">
        <v>202</v>
      </c>
    </row>
    <row r="1256" spans="1:7" x14ac:dyDescent="0.2">
      <c r="A1256" s="7" t="s">
        <v>164</v>
      </c>
      <c r="B1256">
        <v>72017</v>
      </c>
      <c r="C1256" s="7">
        <v>55</v>
      </c>
      <c r="D1256" s="7" t="s">
        <v>106</v>
      </c>
      <c r="E1256" s="7" t="s">
        <v>127</v>
      </c>
      <c r="F1256" s="7">
        <v>90</v>
      </c>
      <c r="G1256" s="7" t="s">
        <v>202</v>
      </c>
    </row>
    <row r="1257" spans="1:7" x14ac:dyDescent="0.2">
      <c r="A1257" s="7" t="s">
        <v>164</v>
      </c>
      <c r="B1257">
        <v>72017</v>
      </c>
      <c r="C1257">
        <v>56</v>
      </c>
      <c r="D1257" s="7" t="s">
        <v>106</v>
      </c>
      <c r="E1257" s="7" t="s">
        <v>127</v>
      </c>
      <c r="F1257" s="7" t="s">
        <v>115</v>
      </c>
      <c r="G1257" s="7" t="s">
        <v>202</v>
      </c>
    </row>
    <row r="1258" spans="1:7" x14ac:dyDescent="0.2">
      <c r="A1258" s="7" t="s">
        <v>164</v>
      </c>
      <c r="B1258">
        <v>72017</v>
      </c>
      <c r="C1258">
        <v>57</v>
      </c>
      <c r="D1258" s="7" t="s">
        <v>106</v>
      </c>
      <c r="E1258" s="7" t="s">
        <v>127</v>
      </c>
      <c r="F1258" s="7" t="s">
        <v>115</v>
      </c>
      <c r="G1258" s="7" t="s">
        <v>202</v>
      </c>
    </row>
    <row r="1259" spans="1:7" x14ac:dyDescent="0.2">
      <c r="A1259" s="7" t="s">
        <v>164</v>
      </c>
      <c r="B1259">
        <v>72017</v>
      </c>
      <c r="C1259" s="7">
        <v>58</v>
      </c>
      <c r="D1259" s="7" t="s">
        <v>106</v>
      </c>
      <c r="E1259" s="7" t="s">
        <v>127</v>
      </c>
      <c r="F1259" s="7" t="s">
        <v>115</v>
      </c>
      <c r="G1259" s="7" t="s">
        <v>202</v>
      </c>
    </row>
    <row r="1260" spans="1:7" x14ac:dyDescent="0.2">
      <c r="A1260" s="7" t="s">
        <v>164</v>
      </c>
      <c r="B1260">
        <v>72017</v>
      </c>
      <c r="C1260">
        <v>59</v>
      </c>
      <c r="D1260" s="7" t="s">
        <v>106</v>
      </c>
      <c r="E1260" s="7" t="s">
        <v>127</v>
      </c>
      <c r="F1260" s="7" t="s">
        <v>115</v>
      </c>
      <c r="G1260" s="7" t="s">
        <v>202</v>
      </c>
    </row>
    <row r="1261" spans="1:7" x14ac:dyDescent="0.2">
      <c r="A1261" s="7" t="s">
        <v>164</v>
      </c>
      <c r="B1261">
        <v>72017</v>
      </c>
      <c r="C1261">
        <v>60</v>
      </c>
      <c r="D1261" s="7" t="s">
        <v>106</v>
      </c>
      <c r="E1261" s="7" t="s">
        <v>127</v>
      </c>
      <c r="F1261" s="7" t="s">
        <v>115</v>
      </c>
      <c r="G1261" s="7" t="s">
        <v>202</v>
      </c>
    </row>
    <row r="1262" spans="1:7" x14ac:dyDescent="0.2">
      <c r="A1262" s="7" t="s">
        <v>164</v>
      </c>
      <c r="B1262">
        <v>72017</v>
      </c>
      <c r="C1262" s="7">
        <v>61</v>
      </c>
      <c r="D1262" s="7" t="s">
        <v>106</v>
      </c>
      <c r="E1262" s="7" t="s">
        <v>200</v>
      </c>
      <c r="F1262">
        <v>32</v>
      </c>
      <c r="G1262" s="7" t="s">
        <v>202</v>
      </c>
    </row>
    <row r="1263" spans="1:7" x14ac:dyDescent="0.2">
      <c r="A1263" s="7" t="s">
        <v>164</v>
      </c>
      <c r="B1263">
        <v>72017</v>
      </c>
      <c r="C1263">
        <v>62</v>
      </c>
      <c r="D1263" s="7" t="s">
        <v>106</v>
      </c>
      <c r="E1263" s="7" t="s">
        <v>200</v>
      </c>
      <c r="F1263">
        <v>16</v>
      </c>
      <c r="G1263" s="7" t="s">
        <v>202</v>
      </c>
    </row>
    <row r="1264" spans="1:7" x14ac:dyDescent="0.2">
      <c r="A1264" s="7" t="s">
        <v>164</v>
      </c>
      <c r="B1264">
        <v>72017</v>
      </c>
      <c r="C1264">
        <v>63</v>
      </c>
      <c r="D1264" s="7" t="s">
        <v>106</v>
      </c>
      <c r="E1264" s="7" t="s">
        <v>200</v>
      </c>
      <c r="F1264">
        <v>45</v>
      </c>
      <c r="G1264" s="7" t="s">
        <v>202</v>
      </c>
    </row>
    <row r="1265" spans="1:7" x14ac:dyDescent="0.2">
      <c r="A1265" s="7" t="s">
        <v>164</v>
      </c>
      <c r="B1265">
        <v>72017</v>
      </c>
      <c r="C1265" s="7">
        <v>64</v>
      </c>
      <c r="D1265" s="7" t="s">
        <v>106</v>
      </c>
      <c r="E1265" s="7" t="s">
        <v>200</v>
      </c>
      <c r="F1265" s="7" t="s">
        <v>115</v>
      </c>
      <c r="G1265" s="7" t="s">
        <v>202</v>
      </c>
    </row>
    <row r="1266" spans="1:7" x14ac:dyDescent="0.2">
      <c r="A1266" s="7" t="s">
        <v>164</v>
      </c>
      <c r="B1266">
        <v>72017</v>
      </c>
      <c r="C1266">
        <v>65</v>
      </c>
      <c r="D1266">
        <v>5</v>
      </c>
      <c r="E1266" s="7" t="s">
        <v>200</v>
      </c>
      <c r="F1266" s="7">
        <v>90</v>
      </c>
    </row>
    <row r="1267" spans="1:7" x14ac:dyDescent="0.2">
      <c r="A1267" s="7" t="s">
        <v>164</v>
      </c>
      <c r="B1267">
        <v>72017</v>
      </c>
      <c r="C1267">
        <v>66</v>
      </c>
      <c r="D1267" s="7" t="s">
        <v>106</v>
      </c>
      <c r="E1267" s="7" t="s">
        <v>200</v>
      </c>
      <c r="F1267" s="7">
        <v>45</v>
      </c>
      <c r="G1267" s="7" t="s">
        <v>202</v>
      </c>
    </row>
    <row r="1268" spans="1:7" x14ac:dyDescent="0.2">
      <c r="A1268" s="7" t="s">
        <v>164</v>
      </c>
      <c r="B1268">
        <v>72017</v>
      </c>
      <c r="C1268" s="7">
        <v>67</v>
      </c>
      <c r="D1268" s="7" t="s">
        <v>106</v>
      </c>
      <c r="E1268" s="7" t="s">
        <v>200</v>
      </c>
      <c r="F1268" s="7" t="s">
        <v>115</v>
      </c>
      <c r="G1268" s="7" t="s">
        <v>202</v>
      </c>
    </row>
    <row r="1269" spans="1:7" x14ac:dyDescent="0.2">
      <c r="A1269" s="7" t="s">
        <v>164</v>
      </c>
      <c r="B1269">
        <v>72017</v>
      </c>
      <c r="C1269">
        <v>68</v>
      </c>
      <c r="D1269" s="7" t="s">
        <v>106</v>
      </c>
      <c r="E1269" s="7" t="s">
        <v>200</v>
      </c>
      <c r="F1269" s="7">
        <v>32</v>
      </c>
      <c r="G1269" s="7" t="s">
        <v>202</v>
      </c>
    </row>
    <row r="1270" spans="1:7" x14ac:dyDescent="0.2">
      <c r="A1270" s="7" t="s">
        <v>164</v>
      </c>
      <c r="B1270">
        <v>72017</v>
      </c>
      <c r="C1270">
        <v>69</v>
      </c>
      <c r="D1270" s="7" t="s">
        <v>106</v>
      </c>
      <c r="E1270" s="7" t="s">
        <v>200</v>
      </c>
      <c r="F1270" s="7" t="s">
        <v>115</v>
      </c>
      <c r="G1270" s="7" t="s">
        <v>202</v>
      </c>
    </row>
    <row r="1271" spans="1:7" x14ac:dyDescent="0.2">
      <c r="A1271" s="7" t="s">
        <v>164</v>
      </c>
      <c r="B1271">
        <v>72017</v>
      </c>
      <c r="C1271" s="7">
        <v>70</v>
      </c>
      <c r="D1271" s="7" t="s">
        <v>106</v>
      </c>
      <c r="E1271" s="7" t="s">
        <v>200</v>
      </c>
      <c r="F1271" s="7">
        <v>64</v>
      </c>
      <c r="G1271" s="7" t="s">
        <v>202</v>
      </c>
    </row>
    <row r="1272" spans="1:7" x14ac:dyDescent="0.2">
      <c r="A1272" s="7" t="s">
        <v>164</v>
      </c>
      <c r="B1272">
        <v>72017</v>
      </c>
      <c r="C1272">
        <v>71</v>
      </c>
      <c r="D1272" s="7" t="s">
        <v>106</v>
      </c>
      <c r="E1272" s="7" t="s">
        <v>127</v>
      </c>
      <c r="F1272" s="7" t="s">
        <v>115</v>
      </c>
      <c r="G1272" s="7" t="s">
        <v>202</v>
      </c>
    </row>
    <row r="1273" spans="1:7" x14ac:dyDescent="0.2">
      <c r="A1273" s="7" t="s">
        <v>164</v>
      </c>
      <c r="B1273">
        <v>72017</v>
      </c>
      <c r="C1273">
        <v>72</v>
      </c>
      <c r="D1273" s="7" t="s">
        <v>106</v>
      </c>
      <c r="E1273" s="7" t="s">
        <v>127</v>
      </c>
      <c r="F1273">
        <v>90</v>
      </c>
      <c r="G1273" s="7" t="s">
        <v>202</v>
      </c>
    </row>
    <row r="1274" spans="1:7" x14ac:dyDescent="0.2">
      <c r="A1274" s="7" t="s">
        <v>164</v>
      </c>
      <c r="B1274">
        <v>72017</v>
      </c>
      <c r="C1274" s="7">
        <v>73</v>
      </c>
      <c r="D1274" s="7" t="s">
        <v>106</v>
      </c>
      <c r="E1274" s="7" t="s">
        <v>127</v>
      </c>
      <c r="F1274" s="7" t="s">
        <v>115</v>
      </c>
      <c r="G1274" s="7" t="s">
        <v>202</v>
      </c>
    </row>
    <row r="1275" spans="1:7" x14ac:dyDescent="0.2">
      <c r="A1275" s="7" t="s">
        <v>164</v>
      </c>
      <c r="B1275">
        <v>72017</v>
      </c>
      <c r="C1275">
        <v>74</v>
      </c>
      <c r="D1275" s="7" t="s">
        <v>106</v>
      </c>
      <c r="E1275" s="7" t="s">
        <v>127</v>
      </c>
      <c r="F1275">
        <v>32</v>
      </c>
      <c r="G1275" s="7" t="s">
        <v>202</v>
      </c>
    </row>
    <row r="1276" spans="1:7" x14ac:dyDescent="0.2">
      <c r="A1276" s="7" t="s">
        <v>164</v>
      </c>
      <c r="B1276">
        <v>72017</v>
      </c>
      <c r="C1276">
        <v>75</v>
      </c>
      <c r="D1276" s="7" t="s">
        <v>106</v>
      </c>
      <c r="E1276" s="7" t="s">
        <v>127</v>
      </c>
      <c r="F1276">
        <v>8</v>
      </c>
      <c r="G1276" s="7" t="s">
        <v>202</v>
      </c>
    </row>
    <row r="1277" spans="1:7" x14ac:dyDescent="0.2">
      <c r="A1277" s="7" t="s">
        <v>164</v>
      </c>
      <c r="B1277">
        <v>72017</v>
      </c>
      <c r="C1277" s="7">
        <v>76</v>
      </c>
      <c r="D1277" s="7" t="s">
        <v>106</v>
      </c>
      <c r="E1277" s="7" t="s">
        <v>127</v>
      </c>
      <c r="F1277">
        <v>64</v>
      </c>
      <c r="G1277" s="7" t="s">
        <v>202</v>
      </c>
    </row>
    <row r="1278" spans="1:7" x14ac:dyDescent="0.2">
      <c r="A1278" s="7" t="s">
        <v>164</v>
      </c>
      <c r="B1278">
        <v>72017</v>
      </c>
      <c r="C1278">
        <v>77</v>
      </c>
      <c r="D1278" s="7" t="s">
        <v>106</v>
      </c>
      <c r="E1278" s="7" t="s">
        <v>127</v>
      </c>
      <c r="F1278" s="7" t="s">
        <v>115</v>
      </c>
      <c r="G1278" s="7" t="s">
        <v>202</v>
      </c>
    </row>
    <row r="1279" spans="1:7" x14ac:dyDescent="0.2">
      <c r="A1279" s="7" t="s">
        <v>164</v>
      </c>
      <c r="B1279">
        <v>72017</v>
      </c>
      <c r="C1279">
        <v>78</v>
      </c>
      <c r="D1279" s="7" t="s">
        <v>106</v>
      </c>
      <c r="E1279" s="7" t="s">
        <v>127</v>
      </c>
      <c r="F1279" s="7" t="s">
        <v>115</v>
      </c>
      <c r="G1279" s="7" t="s">
        <v>202</v>
      </c>
    </row>
    <row r="1280" spans="1:7" x14ac:dyDescent="0.2">
      <c r="A1280" s="7" t="s">
        <v>164</v>
      </c>
      <c r="B1280">
        <v>72017</v>
      </c>
      <c r="C1280" s="7">
        <v>79</v>
      </c>
      <c r="D1280" s="7" t="s">
        <v>106</v>
      </c>
      <c r="E1280" s="7" t="s">
        <v>127</v>
      </c>
      <c r="F1280" s="7" t="s">
        <v>115</v>
      </c>
      <c r="G1280" s="7" t="s">
        <v>202</v>
      </c>
    </row>
    <row r="1281" spans="1:7" x14ac:dyDescent="0.2">
      <c r="A1281" s="7" t="s">
        <v>164</v>
      </c>
      <c r="B1281">
        <v>72017</v>
      </c>
      <c r="C1281">
        <v>80</v>
      </c>
      <c r="D1281" s="7" t="s">
        <v>106</v>
      </c>
      <c r="E1281" s="7" t="s">
        <v>127</v>
      </c>
      <c r="F1281">
        <v>32</v>
      </c>
      <c r="G1281" s="7" t="s">
        <v>202</v>
      </c>
    </row>
    <row r="1282" spans="1:7" x14ac:dyDescent="0.2">
      <c r="A1282" s="7" t="s">
        <v>164</v>
      </c>
      <c r="B1282">
        <v>72017</v>
      </c>
      <c r="C1282">
        <v>81</v>
      </c>
      <c r="D1282" s="7" t="s">
        <v>106</v>
      </c>
      <c r="E1282" s="7" t="s">
        <v>127</v>
      </c>
      <c r="F1282">
        <v>22.6</v>
      </c>
      <c r="G1282" s="7" t="s">
        <v>202</v>
      </c>
    </row>
    <row r="1283" spans="1:7" x14ac:dyDescent="0.2">
      <c r="A1283" s="7" t="s">
        <v>164</v>
      </c>
      <c r="B1283">
        <v>72017</v>
      </c>
      <c r="C1283" s="7">
        <v>82</v>
      </c>
      <c r="D1283" s="7" t="s">
        <v>106</v>
      </c>
      <c r="E1283" s="7" t="s">
        <v>127</v>
      </c>
      <c r="F1283">
        <v>16</v>
      </c>
      <c r="G1283" s="7" t="s">
        <v>202</v>
      </c>
    </row>
    <row r="1284" spans="1:7" x14ac:dyDescent="0.2">
      <c r="A1284" s="7" t="s">
        <v>164</v>
      </c>
      <c r="B1284">
        <v>72017</v>
      </c>
      <c r="C1284">
        <v>83</v>
      </c>
      <c r="D1284" s="7" t="s">
        <v>106</v>
      </c>
      <c r="E1284" s="7" t="s">
        <v>127</v>
      </c>
      <c r="F1284">
        <v>45</v>
      </c>
      <c r="G1284" s="7" t="s">
        <v>202</v>
      </c>
    </row>
    <row r="1285" spans="1:7" x14ac:dyDescent="0.2">
      <c r="A1285" s="7" t="s">
        <v>164</v>
      </c>
      <c r="B1285">
        <v>72017</v>
      </c>
      <c r="C1285">
        <v>84</v>
      </c>
      <c r="D1285" s="7" t="s">
        <v>106</v>
      </c>
      <c r="E1285" s="7" t="s">
        <v>127</v>
      </c>
      <c r="F1285">
        <v>22.6</v>
      </c>
      <c r="G1285" s="7" t="s">
        <v>202</v>
      </c>
    </row>
    <row r="1286" spans="1:7" x14ac:dyDescent="0.2">
      <c r="A1286" s="7" t="s">
        <v>164</v>
      </c>
      <c r="B1286">
        <v>72017</v>
      </c>
      <c r="C1286" s="7">
        <v>85</v>
      </c>
      <c r="D1286" s="7" t="s">
        <v>106</v>
      </c>
      <c r="E1286" s="7" t="s">
        <v>127</v>
      </c>
      <c r="F1286" s="7" t="s">
        <v>115</v>
      </c>
      <c r="G1286" s="7" t="s">
        <v>202</v>
      </c>
    </row>
    <row r="1287" spans="1:7" x14ac:dyDescent="0.2">
      <c r="A1287" s="7" t="s">
        <v>164</v>
      </c>
      <c r="B1287">
        <v>72017</v>
      </c>
      <c r="C1287">
        <v>86</v>
      </c>
      <c r="D1287" s="7" t="s">
        <v>106</v>
      </c>
      <c r="E1287" s="7" t="s">
        <v>127</v>
      </c>
      <c r="F1287" s="7" t="s">
        <v>115</v>
      </c>
      <c r="G1287" s="7" t="s">
        <v>202</v>
      </c>
    </row>
    <row r="1288" spans="1:7" x14ac:dyDescent="0.2">
      <c r="A1288" s="7" t="s">
        <v>164</v>
      </c>
      <c r="B1288">
        <v>72017</v>
      </c>
      <c r="C1288">
        <v>87</v>
      </c>
      <c r="D1288" s="7" t="s">
        <v>106</v>
      </c>
      <c r="E1288" s="7" t="s">
        <v>127</v>
      </c>
      <c r="F1288" s="7" t="s">
        <v>115</v>
      </c>
      <c r="G1288" s="7" t="s">
        <v>202</v>
      </c>
    </row>
    <row r="1289" spans="1:7" x14ac:dyDescent="0.2">
      <c r="A1289" s="7" t="s">
        <v>164</v>
      </c>
      <c r="B1289">
        <v>72017</v>
      </c>
      <c r="C1289" s="7">
        <v>88</v>
      </c>
      <c r="D1289" s="7" t="s">
        <v>106</v>
      </c>
      <c r="E1289" s="7" t="s">
        <v>127</v>
      </c>
      <c r="F1289" s="7" t="s">
        <v>115</v>
      </c>
      <c r="G1289" s="7" t="s">
        <v>202</v>
      </c>
    </row>
    <row r="1290" spans="1:7" x14ac:dyDescent="0.2">
      <c r="A1290" s="7" t="s">
        <v>164</v>
      </c>
      <c r="B1290">
        <v>72017</v>
      </c>
      <c r="C1290">
        <v>89</v>
      </c>
      <c r="D1290" s="7" t="s">
        <v>106</v>
      </c>
      <c r="E1290" s="7" t="s">
        <v>127</v>
      </c>
      <c r="F1290" s="7" t="s">
        <v>115</v>
      </c>
      <c r="G1290" s="7" t="s">
        <v>202</v>
      </c>
    </row>
    <row r="1291" spans="1:7" x14ac:dyDescent="0.2">
      <c r="A1291" s="7" t="s">
        <v>164</v>
      </c>
      <c r="B1291">
        <v>72017</v>
      </c>
      <c r="C1291">
        <v>90</v>
      </c>
      <c r="D1291" s="7" t="s">
        <v>106</v>
      </c>
      <c r="E1291" s="7" t="s">
        <v>127</v>
      </c>
      <c r="F1291">
        <v>22.6</v>
      </c>
      <c r="G1291" s="7" t="s">
        <v>202</v>
      </c>
    </row>
    <row r="1292" spans="1:7" x14ac:dyDescent="0.2">
      <c r="A1292" s="7" t="s">
        <v>164</v>
      </c>
      <c r="B1292">
        <v>72017</v>
      </c>
      <c r="C1292" s="7">
        <v>91</v>
      </c>
      <c r="D1292" s="7" t="s">
        <v>106</v>
      </c>
      <c r="E1292" s="7" t="s">
        <v>127</v>
      </c>
      <c r="F1292">
        <v>16</v>
      </c>
      <c r="G1292" s="7" t="s">
        <v>202</v>
      </c>
    </row>
    <row r="1293" spans="1:7" x14ac:dyDescent="0.2">
      <c r="A1293" s="7" t="s">
        <v>164</v>
      </c>
      <c r="B1293">
        <v>72017</v>
      </c>
      <c r="C1293">
        <v>92</v>
      </c>
      <c r="D1293" s="7" t="s">
        <v>106</v>
      </c>
      <c r="E1293" s="7" t="s">
        <v>200</v>
      </c>
      <c r="F1293">
        <v>90</v>
      </c>
      <c r="G1293" s="7" t="s">
        <v>202</v>
      </c>
    </row>
    <row r="1294" spans="1:7" x14ac:dyDescent="0.2">
      <c r="A1294" s="7" t="s">
        <v>164</v>
      </c>
      <c r="B1294">
        <v>72017</v>
      </c>
      <c r="C1294">
        <v>93</v>
      </c>
      <c r="D1294" s="7" t="s">
        <v>106</v>
      </c>
      <c r="E1294" s="7" t="s">
        <v>200</v>
      </c>
      <c r="F1294">
        <v>180</v>
      </c>
      <c r="G1294" s="7" t="s">
        <v>202</v>
      </c>
    </row>
    <row r="1295" spans="1:7" x14ac:dyDescent="0.2">
      <c r="A1295" s="7" t="s">
        <v>164</v>
      </c>
      <c r="B1295">
        <v>72017</v>
      </c>
      <c r="C1295" s="7">
        <v>94</v>
      </c>
      <c r="D1295" s="7" t="s">
        <v>106</v>
      </c>
      <c r="E1295" s="7" t="s">
        <v>200</v>
      </c>
      <c r="F1295" s="7" t="s">
        <v>115</v>
      </c>
      <c r="G1295" s="7" t="s">
        <v>202</v>
      </c>
    </row>
    <row r="1296" spans="1:7" x14ac:dyDescent="0.2">
      <c r="A1296" s="7" t="s">
        <v>164</v>
      </c>
      <c r="B1296">
        <v>72017</v>
      </c>
      <c r="C1296">
        <v>95</v>
      </c>
      <c r="D1296" s="7" t="s">
        <v>106</v>
      </c>
      <c r="E1296" s="7" t="s">
        <v>200</v>
      </c>
      <c r="F1296" s="7">
        <v>22.6</v>
      </c>
      <c r="G1296" s="7" t="s">
        <v>202</v>
      </c>
    </row>
    <row r="1297" spans="1:7" x14ac:dyDescent="0.2">
      <c r="A1297" s="7" t="s">
        <v>164</v>
      </c>
      <c r="B1297">
        <v>72017</v>
      </c>
      <c r="C1297">
        <v>96</v>
      </c>
      <c r="D1297" s="7" t="s">
        <v>106</v>
      </c>
      <c r="E1297" s="7" t="s">
        <v>200</v>
      </c>
      <c r="F1297" s="7">
        <v>8</v>
      </c>
      <c r="G1297" s="7" t="s">
        <v>202</v>
      </c>
    </row>
    <row r="1298" spans="1:7" x14ac:dyDescent="0.2">
      <c r="A1298" s="7" t="s">
        <v>164</v>
      </c>
      <c r="B1298">
        <v>72017</v>
      </c>
      <c r="C1298">
        <v>97</v>
      </c>
      <c r="D1298" s="7" t="s">
        <v>106</v>
      </c>
      <c r="E1298" s="7" t="s">
        <v>200</v>
      </c>
      <c r="F1298" s="7">
        <v>22.6</v>
      </c>
      <c r="G1298" s="7" t="s">
        <v>202</v>
      </c>
    </row>
    <row r="1299" spans="1:7" x14ac:dyDescent="0.2">
      <c r="A1299" s="7" t="s">
        <v>164</v>
      </c>
      <c r="B1299">
        <v>72017</v>
      </c>
      <c r="C1299">
        <v>98</v>
      </c>
      <c r="D1299">
        <v>7</v>
      </c>
      <c r="E1299" s="7" t="s">
        <v>200</v>
      </c>
      <c r="F1299" s="7" t="s">
        <v>115</v>
      </c>
    </row>
    <row r="1300" spans="1:7" x14ac:dyDescent="0.2">
      <c r="A1300" s="7" t="s">
        <v>164</v>
      </c>
      <c r="B1300">
        <v>72017</v>
      </c>
      <c r="C1300" s="7">
        <v>99</v>
      </c>
      <c r="D1300" s="7" t="s">
        <v>106</v>
      </c>
      <c r="E1300" s="7" t="s">
        <v>200</v>
      </c>
      <c r="F1300" s="7" t="s">
        <v>115</v>
      </c>
      <c r="G1300" s="7" t="s">
        <v>202</v>
      </c>
    </row>
    <row r="1301" spans="1:7" x14ac:dyDescent="0.2">
      <c r="A1301" s="7" t="s">
        <v>164</v>
      </c>
      <c r="B1301">
        <v>72017</v>
      </c>
      <c r="C1301">
        <v>100</v>
      </c>
      <c r="D1301" s="7" t="s">
        <v>106</v>
      </c>
      <c r="E1301" s="7" t="s">
        <v>200</v>
      </c>
      <c r="F1301" s="7">
        <v>16</v>
      </c>
      <c r="G1301" s="7" t="s">
        <v>202</v>
      </c>
    </row>
    <row r="1302" spans="1:7" x14ac:dyDescent="0.2">
      <c r="A1302" s="7" t="s">
        <v>163</v>
      </c>
      <c r="B1302">
        <v>72017</v>
      </c>
      <c r="C1302">
        <v>1</v>
      </c>
      <c r="D1302">
        <v>1</v>
      </c>
      <c r="E1302" s="7" t="s">
        <v>127</v>
      </c>
      <c r="F1302" s="7">
        <v>64</v>
      </c>
    </row>
    <row r="1303" spans="1:7" x14ac:dyDescent="0.2">
      <c r="A1303" s="7" t="s">
        <v>163</v>
      </c>
      <c r="B1303">
        <v>72017</v>
      </c>
      <c r="C1303">
        <v>2</v>
      </c>
      <c r="D1303">
        <v>1</v>
      </c>
      <c r="E1303" s="7" t="s">
        <v>127</v>
      </c>
      <c r="F1303" s="7">
        <v>45</v>
      </c>
    </row>
    <row r="1304" spans="1:7" x14ac:dyDescent="0.2">
      <c r="A1304" s="7" t="s">
        <v>163</v>
      </c>
      <c r="B1304">
        <v>72017</v>
      </c>
      <c r="C1304">
        <v>3</v>
      </c>
      <c r="D1304">
        <v>1</v>
      </c>
      <c r="E1304" s="7" t="s">
        <v>127</v>
      </c>
      <c r="F1304" s="7">
        <v>45</v>
      </c>
    </row>
    <row r="1305" spans="1:7" x14ac:dyDescent="0.2">
      <c r="A1305" s="7" t="s">
        <v>163</v>
      </c>
      <c r="B1305">
        <v>72017</v>
      </c>
      <c r="C1305">
        <v>4</v>
      </c>
      <c r="D1305">
        <v>1</v>
      </c>
      <c r="E1305" s="7" t="s">
        <v>127</v>
      </c>
      <c r="F1305" s="7">
        <v>64</v>
      </c>
    </row>
    <row r="1306" spans="1:7" x14ac:dyDescent="0.2">
      <c r="A1306" s="7" t="s">
        <v>163</v>
      </c>
      <c r="B1306">
        <v>72017</v>
      </c>
      <c r="C1306">
        <v>5</v>
      </c>
      <c r="D1306">
        <v>1</v>
      </c>
      <c r="E1306" s="7" t="s">
        <v>127</v>
      </c>
      <c r="F1306" s="7">
        <v>90</v>
      </c>
    </row>
    <row r="1307" spans="1:7" x14ac:dyDescent="0.2">
      <c r="A1307" s="7" t="s">
        <v>163</v>
      </c>
      <c r="B1307">
        <v>72017</v>
      </c>
      <c r="C1307">
        <v>6</v>
      </c>
      <c r="D1307">
        <v>1</v>
      </c>
      <c r="E1307" s="7" t="s">
        <v>127</v>
      </c>
      <c r="F1307" s="7">
        <v>64</v>
      </c>
    </row>
    <row r="1308" spans="1:7" x14ac:dyDescent="0.2">
      <c r="A1308" s="7" t="s">
        <v>163</v>
      </c>
      <c r="B1308">
        <v>72017</v>
      </c>
      <c r="C1308">
        <v>7</v>
      </c>
      <c r="D1308">
        <v>1</v>
      </c>
      <c r="E1308" s="7" t="s">
        <v>127</v>
      </c>
      <c r="F1308" s="7">
        <v>32</v>
      </c>
    </row>
    <row r="1309" spans="1:7" x14ac:dyDescent="0.2">
      <c r="A1309" s="7" t="s">
        <v>163</v>
      </c>
      <c r="B1309">
        <v>72017</v>
      </c>
      <c r="C1309">
        <v>8</v>
      </c>
      <c r="D1309">
        <v>1</v>
      </c>
      <c r="E1309" s="7" t="s">
        <v>200</v>
      </c>
      <c r="F1309" s="7">
        <v>32</v>
      </c>
    </row>
    <row r="1310" spans="1:7" x14ac:dyDescent="0.2">
      <c r="A1310" s="7" t="s">
        <v>163</v>
      </c>
      <c r="B1310">
        <v>72017</v>
      </c>
      <c r="C1310">
        <v>9</v>
      </c>
      <c r="D1310">
        <v>2</v>
      </c>
      <c r="E1310" s="7" t="s">
        <v>200</v>
      </c>
      <c r="F1310" s="7">
        <v>90</v>
      </c>
    </row>
    <row r="1311" spans="1:7" x14ac:dyDescent="0.2">
      <c r="A1311" s="7" t="s">
        <v>163</v>
      </c>
      <c r="B1311">
        <v>72017</v>
      </c>
      <c r="C1311">
        <v>10</v>
      </c>
      <c r="D1311">
        <v>2</v>
      </c>
      <c r="E1311" s="7" t="s">
        <v>200</v>
      </c>
      <c r="F1311" s="7">
        <v>90</v>
      </c>
    </row>
    <row r="1312" spans="1:7" x14ac:dyDescent="0.2">
      <c r="A1312" s="7" t="s">
        <v>163</v>
      </c>
      <c r="B1312">
        <v>72017</v>
      </c>
      <c r="C1312">
        <v>11</v>
      </c>
      <c r="D1312">
        <v>2</v>
      </c>
      <c r="E1312" s="7" t="s">
        <v>127</v>
      </c>
      <c r="F1312" s="7">
        <v>180</v>
      </c>
    </row>
    <row r="1313" spans="1:6" x14ac:dyDescent="0.2">
      <c r="A1313" s="7" t="s">
        <v>163</v>
      </c>
      <c r="B1313">
        <v>72017</v>
      </c>
      <c r="C1313">
        <v>12</v>
      </c>
      <c r="D1313">
        <v>2</v>
      </c>
      <c r="E1313" s="7" t="s">
        <v>127</v>
      </c>
      <c r="F1313" s="7">
        <v>64</v>
      </c>
    </row>
    <row r="1314" spans="1:6" x14ac:dyDescent="0.2">
      <c r="A1314" s="7" t="s">
        <v>163</v>
      </c>
      <c r="B1314">
        <v>72017</v>
      </c>
      <c r="C1314">
        <v>13</v>
      </c>
      <c r="D1314">
        <v>2</v>
      </c>
      <c r="E1314" s="7" t="s">
        <v>127</v>
      </c>
      <c r="F1314" s="7">
        <v>45</v>
      </c>
    </row>
    <row r="1315" spans="1:6" x14ac:dyDescent="0.2">
      <c r="A1315" s="7" t="s">
        <v>163</v>
      </c>
      <c r="B1315">
        <v>72017</v>
      </c>
      <c r="C1315">
        <v>14</v>
      </c>
      <c r="D1315">
        <v>2</v>
      </c>
      <c r="E1315" s="7" t="s">
        <v>127</v>
      </c>
      <c r="F1315" s="7">
        <v>90</v>
      </c>
    </row>
    <row r="1316" spans="1:6" x14ac:dyDescent="0.2">
      <c r="A1316" s="7" t="s">
        <v>163</v>
      </c>
      <c r="B1316">
        <v>72017</v>
      </c>
      <c r="C1316">
        <v>15</v>
      </c>
      <c r="D1316">
        <v>2</v>
      </c>
      <c r="E1316" s="7" t="s">
        <v>127</v>
      </c>
      <c r="F1316" s="7">
        <v>180</v>
      </c>
    </row>
    <row r="1317" spans="1:6" x14ac:dyDescent="0.2">
      <c r="A1317" s="7" t="s">
        <v>163</v>
      </c>
      <c r="B1317">
        <v>72017</v>
      </c>
      <c r="C1317">
        <v>16</v>
      </c>
      <c r="D1317">
        <v>2</v>
      </c>
      <c r="E1317" s="7" t="s">
        <v>200</v>
      </c>
      <c r="F1317" s="7">
        <v>180</v>
      </c>
    </row>
    <row r="1318" spans="1:6" x14ac:dyDescent="0.2">
      <c r="A1318" s="7" t="s">
        <v>163</v>
      </c>
      <c r="B1318">
        <v>72017</v>
      </c>
      <c r="C1318">
        <v>17</v>
      </c>
      <c r="D1318">
        <v>3</v>
      </c>
      <c r="E1318" s="7" t="s">
        <v>200</v>
      </c>
      <c r="F1318" s="7">
        <v>64</v>
      </c>
    </row>
    <row r="1319" spans="1:6" x14ac:dyDescent="0.2">
      <c r="A1319" s="7" t="s">
        <v>163</v>
      </c>
      <c r="B1319">
        <v>72017</v>
      </c>
      <c r="C1319">
        <v>18</v>
      </c>
      <c r="D1319">
        <v>3</v>
      </c>
      <c r="E1319" s="7" t="s">
        <v>127</v>
      </c>
      <c r="F1319" s="7">
        <v>45</v>
      </c>
    </row>
    <row r="1320" spans="1:6" x14ac:dyDescent="0.2">
      <c r="A1320" s="7" t="s">
        <v>163</v>
      </c>
      <c r="B1320">
        <v>72017</v>
      </c>
      <c r="C1320">
        <v>19</v>
      </c>
      <c r="D1320">
        <v>3</v>
      </c>
      <c r="E1320" s="7" t="s">
        <v>127</v>
      </c>
      <c r="F1320" s="7">
        <v>180</v>
      </c>
    </row>
    <row r="1321" spans="1:6" x14ac:dyDescent="0.2">
      <c r="A1321" s="7" t="s">
        <v>163</v>
      </c>
      <c r="B1321">
        <v>72017</v>
      </c>
      <c r="C1321">
        <v>20</v>
      </c>
      <c r="D1321">
        <v>3</v>
      </c>
      <c r="E1321" s="7" t="s">
        <v>127</v>
      </c>
      <c r="F1321" s="7">
        <v>128</v>
      </c>
    </row>
    <row r="1322" spans="1:6" x14ac:dyDescent="0.2">
      <c r="A1322" s="7" t="s">
        <v>163</v>
      </c>
      <c r="B1322">
        <v>72017</v>
      </c>
      <c r="C1322">
        <v>21</v>
      </c>
      <c r="D1322">
        <v>3</v>
      </c>
      <c r="E1322" s="7" t="s">
        <v>127</v>
      </c>
      <c r="F1322" s="7">
        <v>90</v>
      </c>
    </row>
    <row r="1323" spans="1:6" x14ac:dyDescent="0.2">
      <c r="A1323" s="7" t="s">
        <v>163</v>
      </c>
      <c r="B1323">
        <v>72017</v>
      </c>
      <c r="C1323">
        <v>22</v>
      </c>
      <c r="D1323">
        <v>3</v>
      </c>
      <c r="E1323" s="7" t="s">
        <v>127</v>
      </c>
      <c r="F1323" s="7">
        <v>64</v>
      </c>
    </row>
    <row r="1324" spans="1:6" x14ac:dyDescent="0.2">
      <c r="A1324" s="7" t="s">
        <v>163</v>
      </c>
      <c r="B1324">
        <v>72017</v>
      </c>
      <c r="C1324">
        <v>23</v>
      </c>
      <c r="D1324">
        <v>3</v>
      </c>
      <c r="E1324" s="7" t="s">
        <v>127</v>
      </c>
      <c r="F1324" s="7">
        <v>180</v>
      </c>
    </row>
    <row r="1325" spans="1:6" x14ac:dyDescent="0.2">
      <c r="A1325" s="7" t="s">
        <v>163</v>
      </c>
      <c r="B1325">
        <v>72017</v>
      </c>
      <c r="C1325">
        <v>24</v>
      </c>
      <c r="D1325">
        <v>4</v>
      </c>
      <c r="E1325" s="7" t="s">
        <v>127</v>
      </c>
      <c r="F1325" s="7">
        <v>5.6</v>
      </c>
    </row>
    <row r="1326" spans="1:6" x14ac:dyDescent="0.2">
      <c r="A1326" s="7" t="s">
        <v>163</v>
      </c>
      <c r="B1326">
        <v>72017</v>
      </c>
      <c r="C1326">
        <v>25</v>
      </c>
      <c r="D1326">
        <v>4</v>
      </c>
      <c r="E1326" s="7" t="s">
        <v>127</v>
      </c>
      <c r="F1326" s="7">
        <v>16</v>
      </c>
    </row>
    <row r="1327" spans="1:6" x14ac:dyDescent="0.2">
      <c r="A1327" s="7" t="s">
        <v>163</v>
      </c>
      <c r="B1327">
        <v>72017</v>
      </c>
      <c r="C1327">
        <v>26</v>
      </c>
      <c r="D1327">
        <v>4</v>
      </c>
      <c r="E1327" s="7" t="s">
        <v>127</v>
      </c>
      <c r="F1327" s="7">
        <v>45</v>
      </c>
    </row>
    <row r="1328" spans="1:6" x14ac:dyDescent="0.2">
      <c r="A1328" s="7" t="s">
        <v>163</v>
      </c>
      <c r="B1328">
        <v>72017</v>
      </c>
      <c r="C1328">
        <v>27</v>
      </c>
      <c r="D1328">
        <v>4</v>
      </c>
      <c r="E1328" s="7" t="s">
        <v>127</v>
      </c>
      <c r="F1328" s="7">
        <v>45</v>
      </c>
    </row>
    <row r="1329" spans="1:6" x14ac:dyDescent="0.2">
      <c r="A1329" s="7" t="s">
        <v>163</v>
      </c>
      <c r="B1329">
        <v>72017</v>
      </c>
      <c r="C1329">
        <v>28</v>
      </c>
      <c r="D1329">
        <v>4</v>
      </c>
      <c r="E1329" s="7" t="s">
        <v>127</v>
      </c>
      <c r="F1329" s="7">
        <v>128</v>
      </c>
    </row>
    <row r="1330" spans="1:6" x14ac:dyDescent="0.2">
      <c r="A1330" s="7" t="s">
        <v>163</v>
      </c>
      <c r="B1330">
        <v>72017</v>
      </c>
      <c r="C1330">
        <v>29</v>
      </c>
      <c r="D1330">
        <v>4</v>
      </c>
      <c r="E1330" s="7" t="s">
        <v>127</v>
      </c>
      <c r="F1330" s="7">
        <v>128</v>
      </c>
    </row>
    <row r="1331" spans="1:6" x14ac:dyDescent="0.2">
      <c r="A1331" s="7" t="s">
        <v>163</v>
      </c>
      <c r="B1331">
        <v>72017</v>
      </c>
      <c r="C1331">
        <v>30</v>
      </c>
      <c r="D1331">
        <v>4</v>
      </c>
      <c r="E1331" s="7" t="s">
        <v>127</v>
      </c>
      <c r="F1331" s="7">
        <v>8</v>
      </c>
    </row>
    <row r="1332" spans="1:6" x14ac:dyDescent="0.2">
      <c r="A1332" s="7" t="s">
        <v>163</v>
      </c>
      <c r="B1332">
        <v>72017</v>
      </c>
      <c r="C1332">
        <v>31</v>
      </c>
      <c r="D1332">
        <v>4</v>
      </c>
      <c r="E1332" s="7" t="s">
        <v>127</v>
      </c>
      <c r="F1332" s="7" t="s">
        <v>115</v>
      </c>
    </row>
    <row r="1333" spans="1:6" x14ac:dyDescent="0.2">
      <c r="A1333" s="7" t="s">
        <v>163</v>
      </c>
      <c r="B1333">
        <v>72017</v>
      </c>
      <c r="C1333">
        <v>32</v>
      </c>
      <c r="D1333">
        <v>5</v>
      </c>
      <c r="E1333" s="7" t="s">
        <v>127</v>
      </c>
      <c r="F1333" s="7">
        <v>180</v>
      </c>
    </row>
    <row r="1334" spans="1:6" x14ac:dyDescent="0.2">
      <c r="A1334" s="7" t="s">
        <v>163</v>
      </c>
      <c r="B1334">
        <v>72017</v>
      </c>
      <c r="C1334">
        <v>33</v>
      </c>
      <c r="D1334">
        <v>5</v>
      </c>
      <c r="E1334" s="7" t="s">
        <v>127</v>
      </c>
      <c r="F1334" s="7">
        <v>128</v>
      </c>
    </row>
    <row r="1335" spans="1:6" x14ac:dyDescent="0.2">
      <c r="A1335" s="7" t="s">
        <v>163</v>
      </c>
      <c r="B1335">
        <v>72017</v>
      </c>
      <c r="C1335">
        <v>34</v>
      </c>
      <c r="D1335">
        <v>5</v>
      </c>
      <c r="E1335" s="7" t="s">
        <v>127</v>
      </c>
      <c r="F1335" s="7">
        <v>11</v>
      </c>
    </row>
    <row r="1336" spans="1:6" x14ac:dyDescent="0.2">
      <c r="A1336" s="7" t="s">
        <v>163</v>
      </c>
      <c r="B1336">
        <v>72017</v>
      </c>
      <c r="C1336">
        <v>35</v>
      </c>
      <c r="D1336">
        <v>5</v>
      </c>
      <c r="E1336" s="7" t="s">
        <v>127</v>
      </c>
      <c r="F1336" s="7">
        <v>22.6</v>
      </c>
    </row>
    <row r="1337" spans="1:6" x14ac:dyDescent="0.2">
      <c r="A1337" s="7" t="s">
        <v>163</v>
      </c>
      <c r="B1337">
        <v>72017</v>
      </c>
      <c r="C1337">
        <v>36</v>
      </c>
      <c r="D1337">
        <v>5</v>
      </c>
      <c r="E1337" s="7" t="s">
        <v>127</v>
      </c>
      <c r="F1337" s="7">
        <v>16</v>
      </c>
    </row>
    <row r="1338" spans="1:6" x14ac:dyDescent="0.2">
      <c r="A1338" s="7" t="s">
        <v>163</v>
      </c>
      <c r="B1338">
        <v>72017</v>
      </c>
      <c r="C1338">
        <v>37</v>
      </c>
      <c r="D1338">
        <v>5</v>
      </c>
      <c r="E1338" s="7" t="s">
        <v>127</v>
      </c>
      <c r="F1338" s="7">
        <v>45</v>
      </c>
    </row>
    <row r="1339" spans="1:6" x14ac:dyDescent="0.2">
      <c r="A1339" s="7" t="s">
        <v>163</v>
      </c>
      <c r="B1339">
        <v>72017</v>
      </c>
      <c r="C1339">
        <v>38</v>
      </c>
      <c r="D1339">
        <v>5</v>
      </c>
      <c r="E1339" s="7" t="s">
        <v>127</v>
      </c>
      <c r="F1339" s="7">
        <v>64</v>
      </c>
    </row>
    <row r="1340" spans="1:6" x14ac:dyDescent="0.2">
      <c r="A1340" s="7" t="s">
        <v>163</v>
      </c>
      <c r="B1340">
        <v>72017</v>
      </c>
      <c r="C1340">
        <v>39</v>
      </c>
      <c r="D1340">
        <v>6</v>
      </c>
      <c r="E1340" s="7" t="s">
        <v>200</v>
      </c>
      <c r="F1340" s="7">
        <v>90</v>
      </c>
    </row>
    <row r="1341" spans="1:6" x14ac:dyDescent="0.2">
      <c r="A1341" s="7" t="s">
        <v>163</v>
      </c>
      <c r="B1341">
        <v>72017</v>
      </c>
      <c r="C1341">
        <v>40</v>
      </c>
      <c r="D1341">
        <v>6</v>
      </c>
      <c r="E1341" s="7" t="s">
        <v>127</v>
      </c>
      <c r="F1341" s="7">
        <v>90</v>
      </c>
    </row>
    <row r="1342" spans="1:6" x14ac:dyDescent="0.2">
      <c r="A1342" s="7" t="s">
        <v>163</v>
      </c>
      <c r="B1342">
        <v>72017</v>
      </c>
      <c r="C1342">
        <v>41</v>
      </c>
      <c r="D1342">
        <v>6</v>
      </c>
      <c r="E1342" s="7" t="s">
        <v>127</v>
      </c>
      <c r="F1342" s="7">
        <v>32</v>
      </c>
    </row>
    <row r="1343" spans="1:6" x14ac:dyDescent="0.2">
      <c r="A1343" s="7" t="s">
        <v>163</v>
      </c>
      <c r="B1343">
        <v>72017</v>
      </c>
      <c r="C1343">
        <v>42</v>
      </c>
      <c r="D1343">
        <v>6</v>
      </c>
      <c r="E1343" s="7" t="s">
        <v>127</v>
      </c>
      <c r="F1343" s="7">
        <v>5.6</v>
      </c>
    </row>
    <row r="1344" spans="1:6" x14ac:dyDescent="0.2">
      <c r="A1344" s="7" t="s">
        <v>163</v>
      </c>
      <c r="B1344">
        <v>72017</v>
      </c>
      <c r="C1344">
        <v>43</v>
      </c>
      <c r="D1344">
        <v>6</v>
      </c>
      <c r="E1344" s="7" t="s">
        <v>127</v>
      </c>
      <c r="F1344" s="7">
        <v>32</v>
      </c>
    </row>
    <row r="1345" spans="1:6" x14ac:dyDescent="0.2">
      <c r="A1345" s="7" t="s">
        <v>163</v>
      </c>
      <c r="B1345">
        <v>72017</v>
      </c>
      <c r="C1345">
        <v>44</v>
      </c>
      <c r="D1345">
        <v>6</v>
      </c>
      <c r="E1345" s="7" t="s">
        <v>127</v>
      </c>
      <c r="F1345" s="7" t="s">
        <v>115</v>
      </c>
    </row>
    <row r="1346" spans="1:6" x14ac:dyDescent="0.2">
      <c r="A1346" s="7" t="s">
        <v>163</v>
      </c>
      <c r="B1346">
        <v>72017</v>
      </c>
      <c r="C1346">
        <v>45</v>
      </c>
      <c r="D1346">
        <v>7</v>
      </c>
      <c r="E1346" s="7" t="s">
        <v>127</v>
      </c>
      <c r="F1346" s="7">
        <v>90</v>
      </c>
    </row>
    <row r="1347" spans="1:6" x14ac:dyDescent="0.2">
      <c r="A1347" s="7" t="s">
        <v>163</v>
      </c>
      <c r="B1347">
        <v>72017</v>
      </c>
      <c r="C1347">
        <v>46</v>
      </c>
      <c r="D1347">
        <v>7</v>
      </c>
      <c r="E1347" s="7" t="s">
        <v>127</v>
      </c>
      <c r="F1347" s="7">
        <v>64</v>
      </c>
    </row>
    <row r="1348" spans="1:6" x14ac:dyDescent="0.2">
      <c r="A1348" s="7" t="s">
        <v>163</v>
      </c>
      <c r="B1348">
        <v>72017</v>
      </c>
      <c r="C1348">
        <v>47</v>
      </c>
      <c r="D1348">
        <v>7</v>
      </c>
      <c r="E1348" s="7" t="s">
        <v>127</v>
      </c>
      <c r="F1348" s="7">
        <v>64</v>
      </c>
    </row>
    <row r="1349" spans="1:6" x14ac:dyDescent="0.2">
      <c r="A1349" s="7" t="s">
        <v>163</v>
      </c>
      <c r="B1349">
        <v>72017</v>
      </c>
      <c r="C1349">
        <v>48</v>
      </c>
      <c r="D1349">
        <v>7</v>
      </c>
      <c r="E1349" s="7" t="s">
        <v>127</v>
      </c>
      <c r="F1349" s="7">
        <v>128</v>
      </c>
    </row>
    <row r="1350" spans="1:6" x14ac:dyDescent="0.2">
      <c r="A1350" s="7" t="s">
        <v>163</v>
      </c>
      <c r="B1350">
        <v>72017</v>
      </c>
      <c r="C1350">
        <v>49</v>
      </c>
      <c r="D1350">
        <v>8</v>
      </c>
      <c r="E1350" s="7" t="s">
        <v>200</v>
      </c>
      <c r="F1350" s="7">
        <v>45</v>
      </c>
    </row>
    <row r="1351" spans="1:6" x14ac:dyDescent="0.2">
      <c r="A1351" s="7" t="s">
        <v>163</v>
      </c>
      <c r="B1351">
        <v>72017</v>
      </c>
      <c r="C1351">
        <v>50</v>
      </c>
      <c r="D1351">
        <v>8</v>
      </c>
      <c r="E1351" s="7" t="s">
        <v>127</v>
      </c>
      <c r="F1351" s="7">
        <v>22.6</v>
      </c>
    </row>
    <row r="1352" spans="1:6" x14ac:dyDescent="0.2">
      <c r="A1352" s="7" t="s">
        <v>163</v>
      </c>
      <c r="B1352">
        <v>72017</v>
      </c>
      <c r="C1352">
        <v>51</v>
      </c>
      <c r="D1352">
        <v>8</v>
      </c>
      <c r="E1352" s="7" t="s">
        <v>127</v>
      </c>
      <c r="F1352" s="7">
        <v>180</v>
      </c>
    </row>
    <row r="1353" spans="1:6" x14ac:dyDescent="0.2">
      <c r="A1353" s="7" t="s">
        <v>163</v>
      </c>
      <c r="B1353">
        <v>72017</v>
      </c>
      <c r="C1353">
        <v>52</v>
      </c>
      <c r="D1353">
        <v>8</v>
      </c>
      <c r="E1353" s="7" t="s">
        <v>127</v>
      </c>
      <c r="F1353" s="7">
        <v>180</v>
      </c>
    </row>
    <row r="1354" spans="1:6" x14ac:dyDescent="0.2">
      <c r="A1354" s="7" t="s">
        <v>163</v>
      </c>
      <c r="B1354">
        <v>72017</v>
      </c>
      <c r="C1354">
        <v>53</v>
      </c>
      <c r="D1354">
        <v>8</v>
      </c>
      <c r="E1354" s="7" t="s">
        <v>127</v>
      </c>
      <c r="F1354" s="7">
        <v>45</v>
      </c>
    </row>
    <row r="1355" spans="1:6" x14ac:dyDescent="0.2">
      <c r="A1355" s="7" t="s">
        <v>163</v>
      </c>
      <c r="B1355">
        <v>72017</v>
      </c>
      <c r="C1355">
        <v>54</v>
      </c>
      <c r="D1355">
        <v>8</v>
      </c>
      <c r="E1355" s="7" t="s">
        <v>127</v>
      </c>
      <c r="F1355" s="7">
        <v>22.6</v>
      </c>
    </row>
    <row r="1356" spans="1:6" x14ac:dyDescent="0.2">
      <c r="A1356" s="7" t="s">
        <v>163</v>
      </c>
      <c r="B1356">
        <v>72017</v>
      </c>
      <c r="C1356">
        <v>55</v>
      </c>
      <c r="D1356">
        <v>8</v>
      </c>
      <c r="E1356" s="7" t="s">
        <v>127</v>
      </c>
      <c r="F1356" s="7">
        <v>64</v>
      </c>
    </row>
    <row r="1357" spans="1:6" x14ac:dyDescent="0.2">
      <c r="A1357" s="7" t="s">
        <v>163</v>
      </c>
      <c r="B1357">
        <v>72017</v>
      </c>
      <c r="C1357">
        <v>56</v>
      </c>
      <c r="D1357">
        <v>8</v>
      </c>
      <c r="E1357" s="7" t="s">
        <v>127</v>
      </c>
      <c r="F1357" s="7">
        <v>45</v>
      </c>
    </row>
    <row r="1358" spans="1:6" x14ac:dyDescent="0.2">
      <c r="A1358" s="7" t="s">
        <v>163</v>
      </c>
      <c r="B1358">
        <v>72017</v>
      </c>
      <c r="C1358">
        <v>57</v>
      </c>
      <c r="D1358">
        <v>8</v>
      </c>
      <c r="E1358" s="7" t="s">
        <v>127</v>
      </c>
      <c r="F1358" s="7">
        <v>32</v>
      </c>
    </row>
    <row r="1359" spans="1:6" x14ac:dyDescent="0.2">
      <c r="A1359" s="7" t="s">
        <v>163</v>
      </c>
      <c r="B1359">
        <v>72017</v>
      </c>
      <c r="C1359">
        <v>58</v>
      </c>
      <c r="D1359">
        <v>8</v>
      </c>
      <c r="E1359" s="7" t="s">
        <v>127</v>
      </c>
      <c r="F1359" s="7">
        <v>90</v>
      </c>
    </row>
    <row r="1360" spans="1:6" x14ac:dyDescent="0.2">
      <c r="A1360" s="7" t="s">
        <v>163</v>
      </c>
      <c r="B1360">
        <v>72017</v>
      </c>
      <c r="C1360">
        <v>59</v>
      </c>
      <c r="D1360">
        <v>8</v>
      </c>
      <c r="E1360" s="7" t="s">
        <v>127</v>
      </c>
      <c r="F1360" s="7">
        <v>90</v>
      </c>
    </row>
    <row r="1361" spans="1:6" x14ac:dyDescent="0.2">
      <c r="A1361" s="7" t="s">
        <v>163</v>
      </c>
      <c r="B1361">
        <v>72017</v>
      </c>
      <c r="C1361">
        <v>60</v>
      </c>
      <c r="D1361">
        <v>9</v>
      </c>
      <c r="E1361" s="7" t="s">
        <v>127</v>
      </c>
      <c r="F1361" s="7">
        <v>45</v>
      </c>
    </row>
    <row r="1362" spans="1:6" x14ac:dyDescent="0.2">
      <c r="A1362" s="7" t="s">
        <v>163</v>
      </c>
      <c r="B1362">
        <v>72017</v>
      </c>
      <c r="C1362">
        <v>61</v>
      </c>
      <c r="D1362">
        <v>9</v>
      </c>
      <c r="E1362" s="7" t="s">
        <v>127</v>
      </c>
      <c r="F1362" s="7">
        <v>22.6</v>
      </c>
    </row>
    <row r="1363" spans="1:6" x14ac:dyDescent="0.2">
      <c r="A1363" s="7" t="s">
        <v>163</v>
      </c>
      <c r="B1363">
        <v>72017</v>
      </c>
      <c r="C1363">
        <v>62</v>
      </c>
      <c r="D1363">
        <v>9</v>
      </c>
      <c r="E1363" s="7" t="s">
        <v>127</v>
      </c>
      <c r="F1363" s="7">
        <v>11</v>
      </c>
    </row>
    <row r="1364" spans="1:6" x14ac:dyDescent="0.2">
      <c r="A1364" s="7" t="s">
        <v>163</v>
      </c>
      <c r="B1364">
        <v>72017</v>
      </c>
      <c r="C1364">
        <v>63</v>
      </c>
      <c r="D1364">
        <v>9</v>
      </c>
      <c r="E1364" s="7" t="s">
        <v>127</v>
      </c>
      <c r="F1364" s="7">
        <v>45</v>
      </c>
    </row>
    <row r="1365" spans="1:6" x14ac:dyDescent="0.2">
      <c r="A1365" s="7" t="s">
        <v>163</v>
      </c>
      <c r="B1365">
        <v>72017</v>
      </c>
      <c r="C1365">
        <v>64</v>
      </c>
      <c r="D1365">
        <v>9</v>
      </c>
      <c r="E1365" s="7" t="s">
        <v>127</v>
      </c>
      <c r="F1365" s="7">
        <v>180</v>
      </c>
    </row>
    <row r="1366" spans="1:6" x14ac:dyDescent="0.2">
      <c r="A1366" s="7" t="s">
        <v>163</v>
      </c>
      <c r="B1366">
        <v>72017</v>
      </c>
      <c r="C1366">
        <v>65</v>
      </c>
      <c r="D1366">
        <v>9</v>
      </c>
      <c r="E1366" s="7" t="s">
        <v>127</v>
      </c>
      <c r="F1366" s="7">
        <v>32</v>
      </c>
    </row>
    <row r="1367" spans="1:6" x14ac:dyDescent="0.2">
      <c r="A1367" s="7" t="s">
        <v>163</v>
      </c>
      <c r="B1367">
        <v>72017</v>
      </c>
      <c r="C1367">
        <v>66</v>
      </c>
      <c r="D1367">
        <v>9</v>
      </c>
      <c r="E1367" s="7" t="s">
        <v>127</v>
      </c>
      <c r="F1367" s="7">
        <v>90</v>
      </c>
    </row>
    <row r="1368" spans="1:6" x14ac:dyDescent="0.2">
      <c r="A1368" s="7" t="s">
        <v>163</v>
      </c>
      <c r="B1368">
        <v>72017</v>
      </c>
      <c r="C1368">
        <v>67</v>
      </c>
      <c r="D1368">
        <v>9</v>
      </c>
      <c r="E1368" s="7" t="s">
        <v>127</v>
      </c>
      <c r="F1368" s="7">
        <v>64</v>
      </c>
    </row>
    <row r="1369" spans="1:6" x14ac:dyDescent="0.2">
      <c r="A1369" s="7" t="s">
        <v>163</v>
      </c>
      <c r="B1369">
        <v>72017</v>
      </c>
      <c r="C1369">
        <v>68</v>
      </c>
      <c r="D1369">
        <v>9</v>
      </c>
      <c r="E1369" s="7" t="s">
        <v>127</v>
      </c>
      <c r="F1369" s="7">
        <v>180</v>
      </c>
    </row>
    <row r="1370" spans="1:6" x14ac:dyDescent="0.2">
      <c r="A1370" s="7" t="s">
        <v>163</v>
      </c>
      <c r="B1370">
        <v>72017</v>
      </c>
      <c r="C1370">
        <v>69</v>
      </c>
      <c r="D1370">
        <v>9</v>
      </c>
      <c r="E1370" s="7" t="s">
        <v>127</v>
      </c>
      <c r="F1370" s="7">
        <v>90</v>
      </c>
    </row>
    <row r="1371" spans="1:6" x14ac:dyDescent="0.2">
      <c r="A1371" s="7" t="s">
        <v>163</v>
      </c>
      <c r="B1371">
        <v>72017</v>
      </c>
      <c r="C1371">
        <v>70</v>
      </c>
      <c r="D1371">
        <v>9</v>
      </c>
      <c r="E1371" s="7" t="s">
        <v>127</v>
      </c>
      <c r="F1371" s="7">
        <v>22.6</v>
      </c>
    </row>
    <row r="1372" spans="1:6" x14ac:dyDescent="0.2">
      <c r="A1372" s="7" t="s">
        <v>163</v>
      </c>
      <c r="B1372">
        <v>72017</v>
      </c>
      <c r="C1372">
        <v>71</v>
      </c>
      <c r="D1372">
        <v>10</v>
      </c>
      <c r="E1372" s="7" t="s">
        <v>127</v>
      </c>
      <c r="F1372" s="7">
        <v>180</v>
      </c>
    </row>
    <row r="1373" spans="1:6" x14ac:dyDescent="0.2">
      <c r="A1373" s="7" t="s">
        <v>163</v>
      </c>
      <c r="B1373">
        <v>72017</v>
      </c>
      <c r="C1373">
        <v>72</v>
      </c>
      <c r="D1373">
        <v>10</v>
      </c>
      <c r="E1373" s="7" t="s">
        <v>127</v>
      </c>
      <c r="F1373" s="7">
        <v>22.6</v>
      </c>
    </row>
    <row r="1374" spans="1:6" x14ac:dyDescent="0.2">
      <c r="A1374" s="7" t="s">
        <v>163</v>
      </c>
      <c r="B1374">
        <v>72017</v>
      </c>
      <c r="C1374">
        <v>73</v>
      </c>
      <c r="D1374">
        <v>10</v>
      </c>
      <c r="E1374" s="7" t="s">
        <v>127</v>
      </c>
      <c r="F1374" s="7">
        <v>45</v>
      </c>
    </row>
    <row r="1375" spans="1:6" x14ac:dyDescent="0.2">
      <c r="A1375" s="7" t="s">
        <v>163</v>
      </c>
      <c r="B1375">
        <v>72017</v>
      </c>
      <c r="C1375">
        <v>74</v>
      </c>
      <c r="D1375">
        <v>10</v>
      </c>
      <c r="E1375" s="7" t="s">
        <v>127</v>
      </c>
      <c r="F1375" s="7">
        <v>45</v>
      </c>
    </row>
    <row r="1376" spans="1:6" x14ac:dyDescent="0.2">
      <c r="A1376" s="7" t="s">
        <v>163</v>
      </c>
      <c r="B1376">
        <v>72017</v>
      </c>
      <c r="C1376">
        <v>75</v>
      </c>
      <c r="D1376">
        <v>10</v>
      </c>
      <c r="E1376" s="7" t="s">
        <v>200</v>
      </c>
      <c r="F1376" s="7" t="s">
        <v>115</v>
      </c>
    </row>
    <row r="1377" spans="1:6" x14ac:dyDescent="0.2">
      <c r="A1377" s="7" t="s">
        <v>163</v>
      </c>
      <c r="B1377">
        <v>72017</v>
      </c>
      <c r="C1377">
        <v>76</v>
      </c>
      <c r="D1377">
        <v>10</v>
      </c>
      <c r="E1377" s="7" t="s">
        <v>200</v>
      </c>
      <c r="F1377" s="7" t="s">
        <v>115</v>
      </c>
    </row>
    <row r="1378" spans="1:6" x14ac:dyDescent="0.2">
      <c r="A1378" s="7" t="s">
        <v>163</v>
      </c>
      <c r="B1378">
        <v>72017</v>
      </c>
      <c r="C1378">
        <v>77</v>
      </c>
      <c r="D1378">
        <v>10</v>
      </c>
      <c r="E1378" s="7" t="s">
        <v>200</v>
      </c>
      <c r="F1378" s="7">
        <v>32</v>
      </c>
    </row>
    <row r="1379" spans="1:6" x14ac:dyDescent="0.2">
      <c r="A1379" s="7" t="s">
        <v>163</v>
      </c>
      <c r="B1379">
        <v>72017</v>
      </c>
      <c r="C1379">
        <v>78</v>
      </c>
      <c r="D1379">
        <v>11</v>
      </c>
      <c r="E1379" s="7" t="s">
        <v>200</v>
      </c>
      <c r="F1379" s="7">
        <v>45</v>
      </c>
    </row>
    <row r="1380" spans="1:6" x14ac:dyDescent="0.2">
      <c r="A1380" s="7" t="s">
        <v>163</v>
      </c>
      <c r="B1380">
        <v>72017</v>
      </c>
      <c r="C1380">
        <v>79</v>
      </c>
      <c r="D1380">
        <v>11</v>
      </c>
      <c r="E1380" s="7" t="s">
        <v>200</v>
      </c>
      <c r="F1380" s="7">
        <v>32</v>
      </c>
    </row>
    <row r="1381" spans="1:6" x14ac:dyDescent="0.2">
      <c r="A1381" s="7" t="s">
        <v>163</v>
      </c>
      <c r="B1381">
        <v>72017</v>
      </c>
      <c r="C1381">
        <v>80</v>
      </c>
      <c r="D1381">
        <v>11</v>
      </c>
      <c r="E1381" s="7" t="s">
        <v>200</v>
      </c>
      <c r="F1381" s="7">
        <v>90</v>
      </c>
    </row>
    <row r="1382" spans="1:6" x14ac:dyDescent="0.2">
      <c r="A1382" s="7" t="s">
        <v>163</v>
      </c>
      <c r="B1382">
        <v>72017</v>
      </c>
      <c r="C1382">
        <v>81</v>
      </c>
      <c r="D1382">
        <v>11</v>
      </c>
      <c r="E1382" s="7" t="s">
        <v>130</v>
      </c>
      <c r="F1382" s="7">
        <v>32</v>
      </c>
    </row>
    <row r="1383" spans="1:6" x14ac:dyDescent="0.2">
      <c r="A1383" s="7" t="s">
        <v>163</v>
      </c>
      <c r="B1383">
        <v>72017</v>
      </c>
      <c r="C1383">
        <v>82</v>
      </c>
      <c r="D1383">
        <v>11</v>
      </c>
      <c r="E1383" s="7" t="s">
        <v>130</v>
      </c>
      <c r="F1383" s="7">
        <v>32</v>
      </c>
    </row>
    <row r="1384" spans="1:6" x14ac:dyDescent="0.2">
      <c r="A1384" s="7" t="s">
        <v>163</v>
      </c>
      <c r="B1384">
        <v>72017</v>
      </c>
      <c r="C1384">
        <v>83</v>
      </c>
      <c r="D1384">
        <v>11</v>
      </c>
      <c r="E1384" s="7" t="s">
        <v>130</v>
      </c>
      <c r="F1384" s="7">
        <v>90</v>
      </c>
    </row>
    <row r="1385" spans="1:6" x14ac:dyDescent="0.2">
      <c r="A1385" s="7" t="s">
        <v>163</v>
      </c>
      <c r="B1385">
        <v>72017</v>
      </c>
      <c r="C1385">
        <v>84</v>
      </c>
      <c r="D1385">
        <v>11</v>
      </c>
      <c r="E1385" s="7" t="s">
        <v>130</v>
      </c>
      <c r="F1385" s="7">
        <v>90</v>
      </c>
    </row>
    <row r="1386" spans="1:6" x14ac:dyDescent="0.2">
      <c r="A1386" s="7" t="s">
        <v>163</v>
      </c>
      <c r="B1386">
        <v>72017</v>
      </c>
      <c r="C1386">
        <v>85</v>
      </c>
      <c r="D1386">
        <v>12</v>
      </c>
      <c r="E1386" s="7" t="s">
        <v>130</v>
      </c>
      <c r="F1386" s="7">
        <v>128</v>
      </c>
    </row>
    <row r="1387" spans="1:6" x14ac:dyDescent="0.2">
      <c r="A1387" s="7" t="s">
        <v>163</v>
      </c>
      <c r="B1387">
        <v>72017</v>
      </c>
      <c r="C1387">
        <v>86</v>
      </c>
      <c r="D1387">
        <v>12</v>
      </c>
      <c r="E1387" s="7" t="s">
        <v>130</v>
      </c>
      <c r="F1387" s="7">
        <v>90</v>
      </c>
    </row>
    <row r="1388" spans="1:6" x14ac:dyDescent="0.2">
      <c r="A1388" s="7" t="s">
        <v>163</v>
      </c>
      <c r="B1388">
        <v>72017</v>
      </c>
      <c r="C1388">
        <v>87</v>
      </c>
      <c r="D1388">
        <v>12</v>
      </c>
      <c r="E1388" s="7" t="s">
        <v>130</v>
      </c>
      <c r="F1388" s="7">
        <v>11</v>
      </c>
    </row>
    <row r="1389" spans="1:6" x14ac:dyDescent="0.2">
      <c r="A1389" s="7" t="s">
        <v>163</v>
      </c>
      <c r="B1389">
        <v>72017</v>
      </c>
      <c r="C1389">
        <v>88</v>
      </c>
      <c r="D1389">
        <v>12</v>
      </c>
      <c r="E1389" s="7" t="s">
        <v>200</v>
      </c>
      <c r="F1389" s="7">
        <v>45</v>
      </c>
    </row>
    <row r="1390" spans="1:6" x14ac:dyDescent="0.2">
      <c r="A1390" s="7" t="s">
        <v>163</v>
      </c>
      <c r="B1390">
        <v>72017</v>
      </c>
      <c r="C1390">
        <v>89</v>
      </c>
      <c r="D1390">
        <v>12</v>
      </c>
      <c r="E1390" s="7" t="s">
        <v>200</v>
      </c>
      <c r="F1390" s="7">
        <v>32</v>
      </c>
    </row>
    <row r="1391" spans="1:6" x14ac:dyDescent="0.2">
      <c r="A1391" s="7" t="s">
        <v>163</v>
      </c>
      <c r="B1391">
        <v>72017</v>
      </c>
      <c r="C1391">
        <v>90</v>
      </c>
      <c r="D1391">
        <v>12</v>
      </c>
      <c r="E1391" s="7" t="s">
        <v>200</v>
      </c>
      <c r="F1391" s="7">
        <v>64</v>
      </c>
    </row>
    <row r="1392" spans="1:6" x14ac:dyDescent="0.2">
      <c r="A1392" s="7" t="s">
        <v>163</v>
      </c>
      <c r="B1392">
        <v>72017</v>
      </c>
      <c r="C1392">
        <v>91</v>
      </c>
      <c r="D1392">
        <v>12</v>
      </c>
      <c r="E1392" s="7" t="s">
        <v>200</v>
      </c>
      <c r="F1392" s="7">
        <v>64</v>
      </c>
    </row>
    <row r="1393" spans="1:7" x14ac:dyDescent="0.2">
      <c r="A1393" s="7" t="s">
        <v>163</v>
      </c>
      <c r="B1393">
        <v>72017</v>
      </c>
      <c r="C1393">
        <v>92</v>
      </c>
      <c r="D1393">
        <v>13</v>
      </c>
      <c r="E1393" s="7" t="s">
        <v>200</v>
      </c>
      <c r="F1393" s="7">
        <v>32</v>
      </c>
    </row>
    <row r="1394" spans="1:7" x14ac:dyDescent="0.2">
      <c r="A1394" s="7" t="s">
        <v>163</v>
      </c>
      <c r="B1394">
        <v>72017</v>
      </c>
      <c r="C1394">
        <v>93</v>
      </c>
      <c r="D1394">
        <v>13</v>
      </c>
      <c r="E1394" s="7" t="s">
        <v>200</v>
      </c>
      <c r="F1394" s="7">
        <v>64</v>
      </c>
    </row>
    <row r="1395" spans="1:7" x14ac:dyDescent="0.2">
      <c r="A1395" s="7" t="s">
        <v>163</v>
      </c>
      <c r="B1395">
        <v>72017</v>
      </c>
      <c r="C1395">
        <v>94</v>
      </c>
      <c r="D1395">
        <v>13</v>
      </c>
      <c r="E1395" s="7" t="s">
        <v>127</v>
      </c>
      <c r="F1395" s="7">
        <v>45</v>
      </c>
    </row>
    <row r="1396" spans="1:7" x14ac:dyDescent="0.2">
      <c r="A1396" s="7" t="s">
        <v>163</v>
      </c>
      <c r="B1396">
        <v>72017</v>
      </c>
      <c r="C1396">
        <v>95</v>
      </c>
      <c r="D1396">
        <v>13</v>
      </c>
      <c r="E1396" s="7" t="s">
        <v>127</v>
      </c>
      <c r="F1396" s="7">
        <v>32</v>
      </c>
    </row>
    <row r="1397" spans="1:7" x14ac:dyDescent="0.2">
      <c r="A1397" s="7" t="s">
        <v>163</v>
      </c>
      <c r="B1397">
        <v>72017</v>
      </c>
      <c r="C1397">
        <v>96</v>
      </c>
      <c r="D1397">
        <v>13</v>
      </c>
      <c r="E1397" s="7" t="s">
        <v>127</v>
      </c>
      <c r="F1397" s="7">
        <v>180</v>
      </c>
    </row>
    <row r="1398" spans="1:7" x14ac:dyDescent="0.2">
      <c r="A1398" s="7" t="s">
        <v>163</v>
      </c>
      <c r="B1398">
        <v>72017</v>
      </c>
      <c r="C1398">
        <v>97</v>
      </c>
      <c r="D1398">
        <v>14</v>
      </c>
      <c r="E1398" s="7" t="s">
        <v>127</v>
      </c>
      <c r="F1398" s="7">
        <v>90</v>
      </c>
    </row>
    <row r="1399" spans="1:7" x14ac:dyDescent="0.2">
      <c r="A1399" s="7" t="s">
        <v>163</v>
      </c>
      <c r="B1399">
        <v>72017</v>
      </c>
      <c r="C1399">
        <v>98</v>
      </c>
      <c r="D1399">
        <v>14</v>
      </c>
      <c r="E1399" s="7" t="s">
        <v>127</v>
      </c>
      <c r="F1399" s="7">
        <v>128</v>
      </c>
    </row>
    <row r="1400" spans="1:7" x14ac:dyDescent="0.2">
      <c r="A1400" s="7" t="s">
        <v>163</v>
      </c>
      <c r="B1400">
        <v>72017</v>
      </c>
      <c r="C1400">
        <v>99</v>
      </c>
      <c r="D1400">
        <v>14</v>
      </c>
      <c r="E1400" s="7" t="s">
        <v>127</v>
      </c>
      <c r="F1400" s="7">
        <v>45</v>
      </c>
    </row>
    <row r="1401" spans="1:7" x14ac:dyDescent="0.2">
      <c r="A1401" s="7" t="s">
        <v>163</v>
      </c>
      <c r="B1401">
        <v>72017</v>
      </c>
      <c r="C1401">
        <v>100</v>
      </c>
      <c r="D1401">
        <v>14</v>
      </c>
      <c r="E1401" s="7" t="s">
        <v>127</v>
      </c>
      <c r="F1401" s="7">
        <v>64</v>
      </c>
    </row>
    <row r="1402" spans="1:7" x14ac:dyDescent="0.2">
      <c r="A1402" s="7" t="s">
        <v>162</v>
      </c>
      <c r="B1402">
        <v>72017</v>
      </c>
      <c r="C1402">
        <v>1</v>
      </c>
      <c r="D1402">
        <v>1</v>
      </c>
      <c r="E1402" s="7" t="s">
        <v>200</v>
      </c>
      <c r="F1402" s="7">
        <v>5.6</v>
      </c>
      <c r="G1402" s="7" t="s">
        <v>203</v>
      </c>
    </row>
    <row r="1403" spans="1:7" x14ac:dyDescent="0.2">
      <c r="A1403" s="7" t="s">
        <v>162</v>
      </c>
      <c r="B1403">
        <v>72017</v>
      </c>
      <c r="C1403">
        <v>2</v>
      </c>
      <c r="D1403">
        <v>1</v>
      </c>
      <c r="E1403" s="7" t="s">
        <v>127</v>
      </c>
      <c r="F1403" s="7">
        <v>128</v>
      </c>
    </row>
    <row r="1404" spans="1:7" x14ac:dyDescent="0.2">
      <c r="A1404" s="7" t="s">
        <v>162</v>
      </c>
      <c r="B1404">
        <v>72017</v>
      </c>
      <c r="C1404">
        <v>3</v>
      </c>
      <c r="D1404">
        <v>1</v>
      </c>
      <c r="E1404" s="7" t="s">
        <v>127</v>
      </c>
      <c r="F1404" s="7">
        <v>32</v>
      </c>
    </row>
    <row r="1405" spans="1:7" x14ac:dyDescent="0.2">
      <c r="A1405" s="7" t="s">
        <v>162</v>
      </c>
      <c r="B1405">
        <v>72017</v>
      </c>
      <c r="C1405">
        <v>4</v>
      </c>
      <c r="D1405">
        <v>1</v>
      </c>
      <c r="E1405" s="7" t="s">
        <v>127</v>
      </c>
      <c r="F1405" s="7" t="s">
        <v>115</v>
      </c>
    </row>
    <row r="1406" spans="1:7" x14ac:dyDescent="0.2">
      <c r="A1406" s="7" t="s">
        <v>162</v>
      </c>
      <c r="B1406">
        <v>72017</v>
      </c>
      <c r="C1406">
        <v>5</v>
      </c>
      <c r="D1406">
        <v>2</v>
      </c>
      <c r="E1406" s="7" t="s">
        <v>127</v>
      </c>
      <c r="F1406" s="7">
        <v>128</v>
      </c>
    </row>
    <row r="1407" spans="1:7" x14ac:dyDescent="0.2">
      <c r="A1407" s="7" t="s">
        <v>162</v>
      </c>
      <c r="B1407">
        <v>72017</v>
      </c>
      <c r="C1407">
        <v>6</v>
      </c>
      <c r="D1407">
        <v>2</v>
      </c>
      <c r="E1407" s="7" t="s">
        <v>127</v>
      </c>
      <c r="F1407" s="7">
        <v>64</v>
      </c>
    </row>
    <row r="1408" spans="1:7" x14ac:dyDescent="0.2">
      <c r="A1408" s="7" t="s">
        <v>162</v>
      </c>
      <c r="B1408">
        <v>72017</v>
      </c>
      <c r="C1408">
        <v>7</v>
      </c>
      <c r="D1408">
        <v>3</v>
      </c>
      <c r="E1408" s="7" t="s">
        <v>127</v>
      </c>
      <c r="F1408" s="7">
        <v>180</v>
      </c>
    </row>
    <row r="1409" spans="1:6" x14ac:dyDescent="0.2">
      <c r="A1409" s="7" t="s">
        <v>162</v>
      </c>
      <c r="B1409">
        <v>72017</v>
      </c>
      <c r="C1409">
        <v>8</v>
      </c>
      <c r="D1409">
        <v>3</v>
      </c>
      <c r="E1409" s="7" t="s">
        <v>200</v>
      </c>
      <c r="F1409" s="7">
        <v>45</v>
      </c>
    </row>
    <row r="1410" spans="1:6" x14ac:dyDescent="0.2">
      <c r="A1410" s="7" t="s">
        <v>162</v>
      </c>
      <c r="B1410">
        <v>72017</v>
      </c>
      <c r="C1410">
        <v>9</v>
      </c>
      <c r="D1410">
        <v>3</v>
      </c>
      <c r="E1410" s="7" t="s">
        <v>200</v>
      </c>
      <c r="F1410" s="7">
        <v>32</v>
      </c>
    </row>
    <row r="1411" spans="1:6" x14ac:dyDescent="0.2">
      <c r="A1411" s="7" t="s">
        <v>162</v>
      </c>
      <c r="B1411">
        <v>72017</v>
      </c>
      <c r="C1411">
        <v>10</v>
      </c>
      <c r="D1411">
        <v>3</v>
      </c>
      <c r="E1411" s="7" t="s">
        <v>200</v>
      </c>
      <c r="F1411" s="7">
        <v>32</v>
      </c>
    </row>
    <row r="1412" spans="1:6" x14ac:dyDescent="0.2">
      <c r="A1412" s="7" t="s">
        <v>162</v>
      </c>
      <c r="B1412">
        <v>72017</v>
      </c>
      <c r="C1412">
        <v>11</v>
      </c>
      <c r="D1412">
        <v>3</v>
      </c>
      <c r="E1412" s="7" t="s">
        <v>200</v>
      </c>
      <c r="F1412" s="7" t="s">
        <v>115</v>
      </c>
    </row>
    <row r="1413" spans="1:6" x14ac:dyDescent="0.2">
      <c r="A1413" s="7" t="s">
        <v>162</v>
      </c>
      <c r="B1413">
        <v>72017</v>
      </c>
      <c r="C1413">
        <v>12</v>
      </c>
      <c r="D1413">
        <v>4</v>
      </c>
      <c r="E1413" s="7" t="s">
        <v>200</v>
      </c>
      <c r="F1413" s="7" t="s">
        <v>115</v>
      </c>
    </row>
    <row r="1414" spans="1:6" x14ac:dyDescent="0.2">
      <c r="A1414" s="7" t="s">
        <v>162</v>
      </c>
      <c r="B1414">
        <v>72017</v>
      </c>
      <c r="C1414">
        <v>13</v>
      </c>
      <c r="D1414">
        <v>4</v>
      </c>
      <c r="E1414" s="7" t="s">
        <v>200</v>
      </c>
      <c r="F1414" s="7" t="s">
        <v>115</v>
      </c>
    </row>
    <row r="1415" spans="1:6" x14ac:dyDescent="0.2">
      <c r="A1415" s="7" t="s">
        <v>162</v>
      </c>
      <c r="B1415">
        <v>72017</v>
      </c>
      <c r="C1415">
        <v>14</v>
      </c>
      <c r="D1415">
        <v>4</v>
      </c>
      <c r="E1415" s="7" t="s">
        <v>200</v>
      </c>
      <c r="F1415">
        <v>64</v>
      </c>
    </row>
    <row r="1416" spans="1:6" x14ac:dyDescent="0.2">
      <c r="A1416" s="7" t="s">
        <v>162</v>
      </c>
      <c r="B1416">
        <v>72017</v>
      </c>
      <c r="C1416">
        <v>15</v>
      </c>
      <c r="D1416">
        <v>4</v>
      </c>
      <c r="E1416" s="7" t="s">
        <v>200</v>
      </c>
      <c r="F1416">
        <v>64</v>
      </c>
    </row>
    <row r="1417" spans="1:6" x14ac:dyDescent="0.2">
      <c r="A1417" s="7" t="s">
        <v>162</v>
      </c>
      <c r="B1417">
        <v>72017</v>
      </c>
      <c r="C1417">
        <v>16</v>
      </c>
      <c r="D1417">
        <v>4</v>
      </c>
      <c r="E1417" s="7" t="s">
        <v>200</v>
      </c>
      <c r="F1417">
        <v>2.8</v>
      </c>
    </row>
    <row r="1418" spans="1:6" x14ac:dyDescent="0.2">
      <c r="A1418" s="7" t="s">
        <v>162</v>
      </c>
      <c r="B1418">
        <v>72017</v>
      </c>
      <c r="C1418">
        <v>17</v>
      </c>
      <c r="D1418">
        <v>4</v>
      </c>
      <c r="E1418" s="7" t="s">
        <v>127</v>
      </c>
      <c r="F1418">
        <v>45</v>
      </c>
    </row>
    <row r="1419" spans="1:6" x14ac:dyDescent="0.2">
      <c r="A1419" s="7" t="s">
        <v>162</v>
      </c>
      <c r="B1419">
        <v>72017</v>
      </c>
      <c r="C1419">
        <v>18</v>
      </c>
      <c r="D1419">
        <v>4</v>
      </c>
      <c r="E1419" s="7" t="s">
        <v>127</v>
      </c>
      <c r="F1419" s="7" t="s">
        <v>115</v>
      </c>
    </row>
    <row r="1420" spans="1:6" x14ac:dyDescent="0.2">
      <c r="A1420" s="7" t="s">
        <v>162</v>
      </c>
      <c r="B1420">
        <v>72017</v>
      </c>
      <c r="C1420">
        <v>19</v>
      </c>
      <c r="D1420">
        <v>5</v>
      </c>
      <c r="E1420" s="7" t="s">
        <v>127</v>
      </c>
      <c r="F1420" s="7">
        <v>32</v>
      </c>
    </row>
    <row r="1421" spans="1:6" x14ac:dyDescent="0.2">
      <c r="A1421" s="7" t="s">
        <v>162</v>
      </c>
      <c r="B1421">
        <v>72017</v>
      </c>
      <c r="C1421">
        <v>20</v>
      </c>
      <c r="D1421">
        <v>5</v>
      </c>
      <c r="E1421" s="7" t="s">
        <v>127</v>
      </c>
      <c r="F1421" s="7">
        <v>128</v>
      </c>
    </row>
    <row r="1422" spans="1:6" x14ac:dyDescent="0.2">
      <c r="A1422" s="7" t="s">
        <v>162</v>
      </c>
      <c r="B1422">
        <v>72017</v>
      </c>
      <c r="C1422">
        <v>21</v>
      </c>
      <c r="D1422">
        <v>5</v>
      </c>
      <c r="E1422" s="7" t="s">
        <v>127</v>
      </c>
      <c r="F1422" s="7">
        <v>32</v>
      </c>
    </row>
    <row r="1423" spans="1:6" x14ac:dyDescent="0.2">
      <c r="A1423" s="7" t="s">
        <v>162</v>
      </c>
      <c r="B1423">
        <v>72017</v>
      </c>
      <c r="C1423">
        <v>22</v>
      </c>
      <c r="D1423">
        <v>5</v>
      </c>
      <c r="E1423" s="7" t="s">
        <v>200</v>
      </c>
      <c r="F1423" s="7">
        <v>64</v>
      </c>
    </row>
    <row r="1424" spans="1:6" x14ac:dyDescent="0.2">
      <c r="A1424" s="7" t="s">
        <v>162</v>
      </c>
      <c r="B1424">
        <v>72017</v>
      </c>
      <c r="C1424">
        <v>23</v>
      </c>
      <c r="D1424">
        <v>5</v>
      </c>
      <c r="E1424" s="7" t="s">
        <v>200</v>
      </c>
      <c r="F1424" s="7">
        <v>45</v>
      </c>
    </row>
    <row r="1425" spans="1:6" x14ac:dyDescent="0.2">
      <c r="A1425" s="7" t="s">
        <v>162</v>
      </c>
      <c r="B1425">
        <v>72017</v>
      </c>
      <c r="C1425">
        <v>24</v>
      </c>
      <c r="D1425">
        <v>5</v>
      </c>
      <c r="E1425" s="7" t="s">
        <v>200</v>
      </c>
      <c r="F1425" s="7">
        <v>64</v>
      </c>
    </row>
    <row r="1426" spans="1:6" x14ac:dyDescent="0.2">
      <c r="A1426" s="7" t="s">
        <v>162</v>
      </c>
      <c r="B1426">
        <v>72017</v>
      </c>
      <c r="C1426">
        <v>25</v>
      </c>
      <c r="D1426">
        <v>5</v>
      </c>
      <c r="E1426" s="7" t="s">
        <v>200</v>
      </c>
      <c r="F1426" s="7" t="s">
        <v>115</v>
      </c>
    </row>
    <row r="1427" spans="1:6" x14ac:dyDescent="0.2">
      <c r="A1427" s="7" t="s">
        <v>162</v>
      </c>
      <c r="B1427">
        <v>72017</v>
      </c>
      <c r="C1427">
        <v>26</v>
      </c>
      <c r="D1427">
        <v>6</v>
      </c>
      <c r="E1427" s="7" t="s">
        <v>200</v>
      </c>
      <c r="F1427" s="7">
        <v>22.6</v>
      </c>
    </row>
    <row r="1428" spans="1:6" x14ac:dyDescent="0.2">
      <c r="A1428" s="7" t="s">
        <v>162</v>
      </c>
      <c r="B1428">
        <v>72017</v>
      </c>
      <c r="C1428">
        <v>27</v>
      </c>
      <c r="D1428">
        <v>6</v>
      </c>
      <c r="E1428" s="7" t="s">
        <v>200</v>
      </c>
      <c r="F1428" s="7" t="s">
        <v>115</v>
      </c>
    </row>
    <row r="1429" spans="1:6" x14ac:dyDescent="0.2">
      <c r="A1429" s="7" t="s">
        <v>162</v>
      </c>
      <c r="B1429">
        <v>72017</v>
      </c>
      <c r="C1429">
        <v>28</v>
      </c>
      <c r="D1429">
        <v>6</v>
      </c>
      <c r="E1429" s="7" t="s">
        <v>200</v>
      </c>
      <c r="F1429" s="7">
        <v>90</v>
      </c>
    </row>
    <row r="1430" spans="1:6" x14ac:dyDescent="0.2">
      <c r="A1430" s="7" t="s">
        <v>162</v>
      </c>
      <c r="B1430">
        <v>72017</v>
      </c>
      <c r="C1430">
        <v>29</v>
      </c>
      <c r="D1430">
        <v>6</v>
      </c>
      <c r="E1430" s="7" t="s">
        <v>200</v>
      </c>
      <c r="F1430" s="7">
        <v>11</v>
      </c>
    </row>
    <row r="1431" spans="1:6" x14ac:dyDescent="0.2">
      <c r="A1431" s="7" t="s">
        <v>162</v>
      </c>
      <c r="B1431">
        <v>72017</v>
      </c>
      <c r="C1431">
        <v>30</v>
      </c>
      <c r="D1431">
        <v>6</v>
      </c>
      <c r="E1431" s="7" t="s">
        <v>200</v>
      </c>
      <c r="F1431" s="7">
        <v>64</v>
      </c>
    </row>
    <row r="1432" spans="1:6" x14ac:dyDescent="0.2">
      <c r="A1432" s="7" t="s">
        <v>162</v>
      </c>
      <c r="B1432">
        <v>72017</v>
      </c>
      <c r="C1432">
        <v>31</v>
      </c>
      <c r="D1432">
        <v>6</v>
      </c>
      <c r="E1432" s="7" t="s">
        <v>127</v>
      </c>
      <c r="F1432" s="7">
        <v>11</v>
      </c>
    </row>
    <row r="1433" spans="1:6" x14ac:dyDescent="0.2">
      <c r="A1433" s="7" t="s">
        <v>162</v>
      </c>
      <c r="B1433">
        <v>72017</v>
      </c>
      <c r="C1433">
        <v>32</v>
      </c>
      <c r="D1433">
        <v>6</v>
      </c>
      <c r="E1433" s="7" t="s">
        <v>127</v>
      </c>
      <c r="F1433" s="7">
        <v>11</v>
      </c>
    </row>
    <row r="1434" spans="1:6" x14ac:dyDescent="0.2">
      <c r="A1434" s="7" t="s">
        <v>162</v>
      </c>
      <c r="B1434">
        <v>72017</v>
      </c>
      <c r="C1434">
        <v>33</v>
      </c>
      <c r="D1434">
        <v>6</v>
      </c>
      <c r="E1434" s="7" t="s">
        <v>127</v>
      </c>
      <c r="F1434" s="7" t="s">
        <v>115</v>
      </c>
    </row>
    <row r="1435" spans="1:6" x14ac:dyDescent="0.2">
      <c r="A1435" s="7" t="s">
        <v>162</v>
      </c>
      <c r="B1435">
        <v>72017</v>
      </c>
      <c r="C1435">
        <v>34</v>
      </c>
      <c r="D1435">
        <v>6</v>
      </c>
      <c r="E1435" s="7" t="s">
        <v>200</v>
      </c>
      <c r="F1435" s="7" t="s">
        <v>115</v>
      </c>
    </row>
    <row r="1436" spans="1:6" x14ac:dyDescent="0.2">
      <c r="A1436" s="7" t="s">
        <v>162</v>
      </c>
      <c r="B1436">
        <v>72017</v>
      </c>
      <c r="C1436">
        <v>35</v>
      </c>
      <c r="D1436">
        <v>6</v>
      </c>
      <c r="E1436" s="7" t="s">
        <v>200</v>
      </c>
      <c r="F1436" s="7" t="s">
        <v>115</v>
      </c>
    </row>
    <row r="1437" spans="1:6" x14ac:dyDescent="0.2">
      <c r="A1437" s="7" t="s">
        <v>162</v>
      </c>
      <c r="B1437">
        <v>72017</v>
      </c>
      <c r="C1437">
        <v>36</v>
      </c>
      <c r="D1437">
        <v>6</v>
      </c>
      <c r="E1437" s="7" t="s">
        <v>200</v>
      </c>
      <c r="F1437">
        <v>128</v>
      </c>
    </row>
    <row r="1438" spans="1:6" x14ac:dyDescent="0.2">
      <c r="A1438" s="7" t="s">
        <v>162</v>
      </c>
      <c r="B1438">
        <v>72017</v>
      </c>
      <c r="C1438">
        <v>37</v>
      </c>
      <c r="D1438">
        <v>6</v>
      </c>
      <c r="E1438" s="7" t="s">
        <v>200</v>
      </c>
      <c r="F1438" s="7" t="s">
        <v>115</v>
      </c>
    </row>
    <row r="1439" spans="1:6" x14ac:dyDescent="0.2">
      <c r="A1439" s="7" t="s">
        <v>162</v>
      </c>
      <c r="B1439">
        <v>72017</v>
      </c>
      <c r="C1439">
        <v>38</v>
      </c>
      <c r="D1439">
        <v>6</v>
      </c>
      <c r="E1439" s="7" t="s">
        <v>200</v>
      </c>
      <c r="F1439">
        <v>5.6</v>
      </c>
    </row>
    <row r="1440" spans="1:6" x14ac:dyDescent="0.2">
      <c r="A1440" s="7" t="s">
        <v>162</v>
      </c>
      <c r="B1440">
        <v>72017</v>
      </c>
      <c r="C1440">
        <v>39</v>
      </c>
      <c r="D1440">
        <v>6</v>
      </c>
      <c r="E1440" s="7" t="s">
        <v>200</v>
      </c>
      <c r="F1440" s="7" t="s">
        <v>115</v>
      </c>
    </row>
    <row r="1441" spans="1:6" x14ac:dyDescent="0.2">
      <c r="A1441" s="7" t="s">
        <v>162</v>
      </c>
      <c r="B1441">
        <v>72017</v>
      </c>
      <c r="C1441">
        <v>40</v>
      </c>
      <c r="D1441">
        <v>6</v>
      </c>
      <c r="E1441" s="7" t="s">
        <v>200</v>
      </c>
      <c r="F1441">
        <v>22.6</v>
      </c>
    </row>
    <row r="1442" spans="1:6" x14ac:dyDescent="0.2">
      <c r="A1442" s="7" t="s">
        <v>162</v>
      </c>
      <c r="B1442">
        <v>72017</v>
      </c>
      <c r="C1442">
        <v>41</v>
      </c>
      <c r="D1442">
        <v>7</v>
      </c>
      <c r="E1442" s="7" t="s">
        <v>200</v>
      </c>
      <c r="F1442">
        <v>32</v>
      </c>
    </row>
    <row r="1443" spans="1:6" x14ac:dyDescent="0.2">
      <c r="A1443" s="7" t="s">
        <v>162</v>
      </c>
      <c r="B1443">
        <v>72017</v>
      </c>
      <c r="C1443">
        <v>42</v>
      </c>
      <c r="D1443">
        <v>7</v>
      </c>
      <c r="E1443" s="7" t="s">
        <v>200</v>
      </c>
      <c r="F1443" s="7" t="s">
        <v>115</v>
      </c>
    </row>
    <row r="1444" spans="1:6" x14ac:dyDescent="0.2">
      <c r="A1444" s="7" t="s">
        <v>162</v>
      </c>
      <c r="B1444">
        <v>72017</v>
      </c>
      <c r="C1444">
        <v>43</v>
      </c>
      <c r="D1444">
        <v>7</v>
      </c>
      <c r="E1444" s="7" t="s">
        <v>200</v>
      </c>
      <c r="F1444" s="7">
        <v>5.6</v>
      </c>
    </row>
    <row r="1445" spans="1:6" x14ac:dyDescent="0.2">
      <c r="A1445" s="7" t="s">
        <v>162</v>
      </c>
      <c r="B1445">
        <v>72017</v>
      </c>
      <c r="C1445">
        <v>44</v>
      </c>
      <c r="D1445">
        <v>7</v>
      </c>
      <c r="E1445" s="7" t="s">
        <v>200</v>
      </c>
      <c r="F1445" s="7" t="s">
        <v>115</v>
      </c>
    </row>
    <row r="1446" spans="1:6" x14ac:dyDescent="0.2">
      <c r="A1446" s="7" t="s">
        <v>162</v>
      </c>
      <c r="B1446">
        <v>72017</v>
      </c>
      <c r="C1446">
        <v>45</v>
      </c>
      <c r="D1446">
        <v>7</v>
      </c>
      <c r="E1446" s="7" t="s">
        <v>200</v>
      </c>
      <c r="F1446" s="7">
        <v>128</v>
      </c>
    </row>
    <row r="1447" spans="1:6" x14ac:dyDescent="0.2">
      <c r="A1447" s="7" t="s">
        <v>162</v>
      </c>
      <c r="B1447">
        <v>72017</v>
      </c>
      <c r="C1447">
        <v>46</v>
      </c>
      <c r="D1447">
        <v>7</v>
      </c>
      <c r="E1447" s="7" t="s">
        <v>200</v>
      </c>
      <c r="F1447" s="7" t="s">
        <v>115</v>
      </c>
    </row>
    <row r="1448" spans="1:6" x14ac:dyDescent="0.2">
      <c r="A1448" s="7" t="s">
        <v>162</v>
      </c>
      <c r="B1448">
        <v>72017</v>
      </c>
      <c r="C1448">
        <v>47</v>
      </c>
      <c r="D1448">
        <v>7</v>
      </c>
      <c r="E1448" s="7" t="s">
        <v>200</v>
      </c>
      <c r="F1448" s="7" t="s">
        <v>115</v>
      </c>
    </row>
    <row r="1449" spans="1:6" x14ac:dyDescent="0.2">
      <c r="A1449" s="7" t="s">
        <v>162</v>
      </c>
      <c r="B1449">
        <v>72017</v>
      </c>
      <c r="C1449">
        <v>48</v>
      </c>
      <c r="D1449">
        <v>7</v>
      </c>
      <c r="E1449" s="7" t="s">
        <v>127</v>
      </c>
      <c r="F1449">
        <v>2.8</v>
      </c>
    </row>
    <row r="1450" spans="1:6" x14ac:dyDescent="0.2">
      <c r="A1450" s="7" t="s">
        <v>162</v>
      </c>
      <c r="B1450">
        <v>72017</v>
      </c>
      <c r="C1450">
        <v>49</v>
      </c>
      <c r="D1450">
        <v>7</v>
      </c>
      <c r="E1450" s="7" t="s">
        <v>127</v>
      </c>
      <c r="F1450">
        <v>22.6</v>
      </c>
    </row>
    <row r="1451" spans="1:6" x14ac:dyDescent="0.2">
      <c r="A1451" s="7" t="s">
        <v>162</v>
      </c>
      <c r="B1451">
        <v>72017</v>
      </c>
      <c r="C1451">
        <v>50</v>
      </c>
      <c r="D1451">
        <v>7</v>
      </c>
      <c r="E1451" s="7" t="s">
        <v>127</v>
      </c>
      <c r="F1451">
        <v>22.6</v>
      </c>
    </row>
    <row r="1452" spans="1:6" x14ac:dyDescent="0.2">
      <c r="A1452" s="7" t="s">
        <v>162</v>
      </c>
      <c r="B1452">
        <v>72017</v>
      </c>
      <c r="C1452">
        <v>51</v>
      </c>
      <c r="D1452">
        <v>7</v>
      </c>
      <c r="E1452" s="7" t="s">
        <v>127</v>
      </c>
      <c r="F1452">
        <v>32</v>
      </c>
    </row>
    <row r="1453" spans="1:6" x14ac:dyDescent="0.2">
      <c r="A1453" s="7" t="s">
        <v>162</v>
      </c>
      <c r="B1453">
        <v>72017</v>
      </c>
      <c r="C1453">
        <v>52</v>
      </c>
      <c r="D1453">
        <v>7</v>
      </c>
      <c r="E1453" s="7" t="s">
        <v>200</v>
      </c>
      <c r="F1453">
        <v>4</v>
      </c>
    </row>
    <row r="1454" spans="1:6" x14ac:dyDescent="0.2">
      <c r="A1454" s="7" t="s">
        <v>162</v>
      </c>
      <c r="B1454">
        <v>72017</v>
      </c>
      <c r="C1454">
        <v>53</v>
      </c>
      <c r="D1454">
        <v>7</v>
      </c>
      <c r="E1454" s="7" t="s">
        <v>200</v>
      </c>
      <c r="F1454">
        <v>64</v>
      </c>
    </row>
    <row r="1455" spans="1:6" x14ac:dyDescent="0.2">
      <c r="A1455" s="7" t="s">
        <v>162</v>
      </c>
      <c r="B1455">
        <v>72017</v>
      </c>
      <c r="C1455">
        <v>54</v>
      </c>
      <c r="D1455">
        <v>7</v>
      </c>
      <c r="E1455" s="7" t="s">
        <v>200</v>
      </c>
      <c r="F1455">
        <v>90</v>
      </c>
    </row>
    <row r="1456" spans="1:6" x14ac:dyDescent="0.2">
      <c r="A1456" s="7" t="s">
        <v>162</v>
      </c>
      <c r="B1456">
        <v>72017</v>
      </c>
      <c r="C1456">
        <v>55</v>
      </c>
      <c r="D1456">
        <v>7</v>
      </c>
      <c r="E1456" s="7" t="s">
        <v>200</v>
      </c>
      <c r="F1456">
        <v>32</v>
      </c>
    </row>
    <row r="1457" spans="1:6" x14ac:dyDescent="0.2">
      <c r="A1457" s="7" t="s">
        <v>162</v>
      </c>
      <c r="B1457">
        <v>72017</v>
      </c>
      <c r="C1457">
        <v>56</v>
      </c>
      <c r="D1457">
        <v>8</v>
      </c>
      <c r="E1457" s="7" t="s">
        <v>200</v>
      </c>
      <c r="F1457" s="7" t="s">
        <v>115</v>
      </c>
    </row>
    <row r="1458" spans="1:6" x14ac:dyDescent="0.2">
      <c r="A1458" s="7" t="s">
        <v>162</v>
      </c>
      <c r="B1458">
        <v>72017</v>
      </c>
      <c r="C1458">
        <v>57</v>
      </c>
      <c r="D1458">
        <v>8</v>
      </c>
      <c r="E1458" s="7" t="s">
        <v>200</v>
      </c>
      <c r="F1458" s="7">
        <v>90</v>
      </c>
    </row>
    <row r="1459" spans="1:6" x14ac:dyDescent="0.2">
      <c r="A1459" s="7" t="s">
        <v>162</v>
      </c>
      <c r="B1459">
        <v>72017</v>
      </c>
      <c r="C1459">
        <v>58</v>
      </c>
      <c r="D1459">
        <v>8</v>
      </c>
      <c r="E1459" s="7" t="s">
        <v>200</v>
      </c>
      <c r="F1459" s="7" t="s">
        <v>115</v>
      </c>
    </row>
    <row r="1460" spans="1:6" x14ac:dyDescent="0.2">
      <c r="A1460" s="7" t="s">
        <v>162</v>
      </c>
      <c r="B1460">
        <v>72017</v>
      </c>
      <c r="C1460">
        <v>59</v>
      </c>
      <c r="D1460">
        <v>8</v>
      </c>
      <c r="E1460" s="7" t="s">
        <v>127</v>
      </c>
      <c r="F1460" s="7" t="s">
        <v>115</v>
      </c>
    </row>
    <row r="1461" spans="1:6" x14ac:dyDescent="0.2">
      <c r="A1461" s="7" t="s">
        <v>162</v>
      </c>
      <c r="B1461">
        <v>72017</v>
      </c>
      <c r="C1461">
        <v>60</v>
      </c>
      <c r="D1461">
        <v>8</v>
      </c>
      <c r="E1461" s="7" t="s">
        <v>127</v>
      </c>
      <c r="F1461" s="7" t="s">
        <v>115</v>
      </c>
    </row>
    <row r="1462" spans="1:6" x14ac:dyDescent="0.2">
      <c r="A1462" s="7" t="s">
        <v>162</v>
      </c>
      <c r="B1462">
        <v>72017</v>
      </c>
      <c r="C1462">
        <v>61</v>
      </c>
      <c r="D1462">
        <v>8</v>
      </c>
      <c r="E1462" s="7" t="s">
        <v>127</v>
      </c>
      <c r="F1462" s="7" t="s">
        <v>115</v>
      </c>
    </row>
    <row r="1463" spans="1:6" x14ac:dyDescent="0.2">
      <c r="A1463" s="7" t="s">
        <v>162</v>
      </c>
      <c r="B1463">
        <v>72017</v>
      </c>
      <c r="C1463">
        <v>62</v>
      </c>
      <c r="D1463">
        <v>8</v>
      </c>
      <c r="E1463" s="7" t="s">
        <v>127</v>
      </c>
      <c r="F1463" s="7" t="s">
        <v>115</v>
      </c>
    </row>
    <row r="1464" spans="1:6" x14ac:dyDescent="0.2">
      <c r="A1464" s="7" t="s">
        <v>162</v>
      </c>
      <c r="B1464">
        <v>72017</v>
      </c>
      <c r="C1464">
        <v>63</v>
      </c>
      <c r="D1464">
        <v>8</v>
      </c>
      <c r="E1464" s="7" t="s">
        <v>200</v>
      </c>
      <c r="F1464">
        <v>11</v>
      </c>
    </row>
    <row r="1465" spans="1:6" x14ac:dyDescent="0.2">
      <c r="A1465" s="7" t="s">
        <v>162</v>
      </c>
      <c r="B1465">
        <v>72017</v>
      </c>
      <c r="C1465">
        <v>64</v>
      </c>
      <c r="D1465">
        <v>8</v>
      </c>
      <c r="E1465" s="7" t="s">
        <v>200</v>
      </c>
      <c r="F1465" s="7" t="s">
        <v>115</v>
      </c>
    </row>
    <row r="1466" spans="1:6" x14ac:dyDescent="0.2">
      <c r="A1466" s="7" t="s">
        <v>162</v>
      </c>
      <c r="B1466">
        <v>72017</v>
      </c>
      <c r="C1466">
        <v>65</v>
      </c>
      <c r="D1466">
        <v>8</v>
      </c>
      <c r="E1466" s="7" t="s">
        <v>200</v>
      </c>
      <c r="F1466">
        <v>16</v>
      </c>
    </row>
    <row r="1467" spans="1:6" x14ac:dyDescent="0.2">
      <c r="A1467" s="7" t="s">
        <v>162</v>
      </c>
      <c r="B1467">
        <v>72017</v>
      </c>
      <c r="C1467">
        <v>66</v>
      </c>
      <c r="D1467">
        <v>8</v>
      </c>
      <c r="E1467" s="7" t="s">
        <v>200</v>
      </c>
      <c r="F1467">
        <v>11</v>
      </c>
    </row>
    <row r="1468" spans="1:6" x14ac:dyDescent="0.2">
      <c r="A1468" s="7" t="s">
        <v>162</v>
      </c>
      <c r="B1468">
        <v>72017</v>
      </c>
      <c r="C1468">
        <v>67</v>
      </c>
      <c r="D1468">
        <v>8</v>
      </c>
      <c r="E1468" s="7" t="s">
        <v>200</v>
      </c>
      <c r="F1468">
        <v>11</v>
      </c>
    </row>
    <row r="1469" spans="1:6" x14ac:dyDescent="0.2">
      <c r="A1469" s="7" t="s">
        <v>162</v>
      </c>
      <c r="B1469">
        <v>72017</v>
      </c>
      <c r="C1469">
        <v>68</v>
      </c>
      <c r="D1469">
        <v>8</v>
      </c>
      <c r="E1469" s="7" t="s">
        <v>200</v>
      </c>
      <c r="F1469" s="7" t="s">
        <v>115</v>
      </c>
    </row>
    <row r="1470" spans="1:6" x14ac:dyDescent="0.2">
      <c r="A1470" s="7" t="s">
        <v>162</v>
      </c>
      <c r="B1470">
        <v>72017</v>
      </c>
      <c r="C1470">
        <v>69</v>
      </c>
      <c r="D1470">
        <v>8</v>
      </c>
      <c r="E1470" s="7" t="s">
        <v>200</v>
      </c>
      <c r="F1470" s="7" t="s">
        <v>115</v>
      </c>
    </row>
    <row r="1471" spans="1:6" x14ac:dyDescent="0.2">
      <c r="A1471" s="7" t="s">
        <v>162</v>
      </c>
      <c r="B1471">
        <v>72017</v>
      </c>
      <c r="C1471">
        <v>70</v>
      </c>
      <c r="D1471">
        <v>8</v>
      </c>
      <c r="E1471" s="7" t="s">
        <v>200</v>
      </c>
      <c r="F1471" s="7">
        <v>32</v>
      </c>
    </row>
    <row r="1472" spans="1:6" x14ac:dyDescent="0.2">
      <c r="A1472" s="7" t="s">
        <v>162</v>
      </c>
      <c r="B1472">
        <v>72017</v>
      </c>
      <c r="C1472">
        <v>71</v>
      </c>
      <c r="D1472">
        <v>8</v>
      </c>
      <c r="E1472" s="7" t="s">
        <v>200</v>
      </c>
      <c r="F1472" s="7">
        <v>128</v>
      </c>
    </row>
    <row r="1473" spans="1:6" x14ac:dyDescent="0.2">
      <c r="A1473" s="7" t="s">
        <v>162</v>
      </c>
      <c r="B1473">
        <v>72017</v>
      </c>
      <c r="C1473">
        <v>72</v>
      </c>
      <c r="D1473">
        <v>8</v>
      </c>
      <c r="E1473" s="7" t="s">
        <v>200</v>
      </c>
      <c r="F1473" s="7">
        <v>90</v>
      </c>
    </row>
    <row r="1474" spans="1:6" x14ac:dyDescent="0.2">
      <c r="A1474" s="7" t="s">
        <v>162</v>
      </c>
      <c r="B1474">
        <v>72017</v>
      </c>
      <c r="C1474">
        <v>73</v>
      </c>
      <c r="D1474">
        <v>8</v>
      </c>
      <c r="E1474" s="7" t="s">
        <v>200</v>
      </c>
      <c r="F1474" s="7">
        <v>32</v>
      </c>
    </row>
    <row r="1475" spans="1:6" x14ac:dyDescent="0.2">
      <c r="A1475" s="7" t="s">
        <v>162</v>
      </c>
      <c r="B1475">
        <v>72017</v>
      </c>
      <c r="C1475">
        <v>74</v>
      </c>
      <c r="D1475">
        <v>8</v>
      </c>
      <c r="E1475" s="7" t="s">
        <v>200</v>
      </c>
      <c r="F1475" s="7">
        <v>32</v>
      </c>
    </row>
    <row r="1476" spans="1:6" x14ac:dyDescent="0.2">
      <c r="A1476" s="7" t="s">
        <v>162</v>
      </c>
      <c r="B1476">
        <v>72017</v>
      </c>
      <c r="C1476">
        <v>75</v>
      </c>
      <c r="D1476">
        <v>9</v>
      </c>
      <c r="E1476" s="7" t="s">
        <v>200</v>
      </c>
      <c r="F1476" s="7" t="s">
        <v>115</v>
      </c>
    </row>
    <row r="1477" spans="1:6" x14ac:dyDescent="0.2">
      <c r="A1477" s="7" t="s">
        <v>162</v>
      </c>
      <c r="B1477">
        <v>72017</v>
      </c>
      <c r="C1477">
        <v>76</v>
      </c>
      <c r="D1477">
        <v>9</v>
      </c>
      <c r="E1477" s="7" t="s">
        <v>200</v>
      </c>
      <c r="F1477" s="7">
        <v>22.6</v>
      </c>
    </row>
    <row r="1478" spans="1:6" x14ac:dyDescent="0.2">
      <c r="A1478" s="7" t="s">
        <v>162</v>
      </c>
      <c r="B1478">
        <v>72017</v>
      </c>
      <c r="C1478">
        <v>77</v>
      </c>
      <c r="D1478">
        <v>9</v>
      </c>
      <c r="E1478" s="7" t="s">
        <v>200</v>
      </c>
      <c r="F1478" s="7">
        <v>45</v>
      </c>
    </row>
    <row r="1479" spans="1:6" x14ac:dyDescent="0.2">
      <c r="A1479" s="7" t="s">
        <v>162</v>
      </c>
      <c r="B1479">
        <v>72017</v>
      </c>
      <c r="C1479">
        <v>78</v>
      </c>
      <c r="D1479">
        <v>9</v>
      </c>
      <c r="E1479" s="7" t="s">
        <v>200</v>
      </c>
      <c r="F1479" s="7">
        <v>4</v>
      </c>
    </row>
    <row r="1480" spans="1:6" x14ac:dyDescent="0.2">
      <c r="A1480" s="7" t="s">
        <v>162</v>
      </c>
      <c r="B1480">
        <v>72017</v>
      </c>
      <c r="C1480">
        <v>79</v>
      </c>
      <c r="D1480">
        <v>9</v>
      </c>
      <c r="E1480" s="7" t="s">
        <v>200</v>
      </c>
      <c r="F1480" s="7">
        <v>32</v>
      </c>
    </row>
    <row r="1481" spans="1:6" x14ac:dyDescent="0.2">
      <c r="A1481" s="7" t="s">
        <v>162</v>
      </c>
      <c r="B1481">
        <v>72017</v>
      </c>
      <c r="C1481">
        <v>80</v>
      </c>
      <c r="D1481">
        <v>9</v>
      </c>
      <c r="E1481" s="7" t="s">
        <v>200</v>
      </c>
      <c r="F1481" s="7">
        <v>128</v>
      </c>
    </row>
    <row r="1482" spans="1:6" x14ac:dyDescent="0.2">
      <c r="A1482" s="7" t="s">
        <v>162</v>
      </c>
      <c r="B1482">
        <v>72017</v>
      </c>
      <c r="C1482">
        <v>81</v>
      </c>
      <c r="D1482">
        <v>9</v>
      </c>
      <c r="E1482" s="7" t="s">
        <v>200</v>
      </c>
      <c r="F1482" s="7">
        <v>8</v>
      </c>
    </row>
    <row r="1483" spans="1:6" x14ac:dyDescent="0.2">
      <c r="A1483" s="7" t="s">
        <v>162</v>
      </c>
      <c r="B1483">
        <v>72017</v>
      </c>
      <c r="C1483">
        <v>82</v>
      </c>
      <c r="D1483">
        <v>9</v>
      </c>
      <c r="E1483" s="7" t="s">
        <v>200</v>
      </c>
      <c r="F1483" s="7">
        <v>5.6</v>
      </c>
    </row>
    <row r="1484" spans="1:6" x14ac:dyDescent="0.2">
      <c r="A1484" s="7" t="s">
        <v>162</v>
      </c>
      <c r="B1484">
        <v>72017</v>
      </c>
      <c r="C1484">
        <v>83</v>
      </c>
      <c r="D1484">
        <v>9</v>
      </c>
      <c r="E1484" s="7" t="s">
        <v>200</v>
      </c>
      <c r="F1484" s="7">
        <v>90</v>
      </c>
    </row>
    <row r="1485" spans="1:6" x14ac:dyDescent="0.2">
      <c r="A1485" s="7" t="s">
        <v>162</v>
      </c>
      <c r="B1485">
        <v>72017</v>
      </c>
      <c r="C1485">
        <v>84</v>
      </c>
      <c r="D1485">
        <v>9</v>
      </c>
      <c r="E1485" s="7" t="s">
        <v>200</v>
      </c>
      <c r="F1485" s="7">
        <v>64</v>
      </c>
    </row>
    <row r="1486" spans="1:6" x14ac:dyDescent="0.2">
      <c r="A1486" s="7" t="s">
        <v>162</v>
      </c>
      <c r="B1486">
        <v>72017</v>
      </c>
      <c r="C1486">
        <v>85</v>
      </c>
      <c r="D1486">
        <v>9</v>
      </c>
      <c r="E1486" s="7" t="s">
        <v>200</v>
      </c>
      <c r="F1486" s="7">
        <v>11</v>
      </c>
    </row>
    <row r="1487" spans="1:6" x14ac:dyDescent="0.2">
      <c r="A1487" s="7" t="s">
        <v>162</v>
      </c>
      <c r="B1487">
        <v>72017</v>
      </c>
      <c r="C1487">
        <v>86</v>
      </c>
      <c r="D1487">
        <v>9</v>
      </c>
      <c r="E1487" s="7" t="s">
        <v>127</v>
      </c>
      <c r="F1487" s="7">
        <v>5.6</v>
      </c>
    </row>
    <row r="1488" spans="1:6" x14ac:dyDescent="0.2">
      <c r="A1488" s="7" t="s">
        <v>162</v>
      </c>
      <c r="B1488">
        <v>72017</v>
      </c>
      <c r="C1488">
        <v>87</v>
      </c>
      <c r="D1488">
        <v>9</v>
      </c>
      <c r="E1488" s="7" t="s">
        <v>127</v>
      </c>
      <c r="F1488" s="7">
        <v>5.6</v>
      </c>
    </row>
    <row r="1489" spans="1:7" x14ac:dyDescent="0.2">
      <c r="A1489" s="7" t="s">
        <v>162</v>
      </c>
      <c r="B1489">
        <v>72017</v>
      </c>
      <c r="C1489">
        <v>88</v>
      </c>
      <c r="D1489">
        <v>9</v>
      </c>
      <c r="E1489" s="7" t="s">
        <v>200</v>
      </c>
      <c r="F1489" s="7">
        <v>64</v>
      </c>
    </row>
    <row r="1490" spans="1:7" x14ac:dyDescent="0.2">
      <c r="A1490" s="7" t="s">
        <v>162</v>
      </c>
      <c r="B1490">
        <v>72017</v>
      </c>
      <c r="C1490">
        <v>89</v>
      </c>
      <c r="D1490">
        <v>10</v>
      </c>
      <c r="E1490" s="7" t="s">
        <v>127</v>
      </c>
      <c r="F1490" s="7">
        <v>16</v>
      </c>
    </row>
    <row r="1491" spans="1:7" x14ac:dyDescent="0.2">
      <c r="A1491" s="7" t="s">
        <v>162</v>
      </c>
      <c r="B1491">
        <v>72017</v>
      </c>
      <c r="C1491">
        <v>90</v>
      </c>
      <c r="D1491">
        <v>10</v>
      </c>
      <c r="E1491" s="7" t="s">
        <v>127</v>
      </c>
      <c r="F1491" s="7">
        <v>11</v>
      </c>
    </row>
    <row r="1492" spans="1:7" x14ac:dyDescent="0.2">
      <c r="A1492" s="7" t="s">
        <v>162</v>
      </c>
      <c r="B1492">
        <v>72017</v>
      </c>
      <c r="C1492">
        <v>91</v>
      </c>
      <c r="D1492">
        <v>10</v>
      </c>
      <c r="E1492" s="7" t="s">
        <v>127</v>
      </c>
      <c r="F1492" s="7">
        <v>8</v>
      </c>
    </row>
    <row r="1493" spans="1:7" x14ac:dyDescent="0.2">
      <c r="A1493" s="7" t="s">
        <v>162</v>
      </c>
      <c r="B1493">
        <v>72017</v>
      </c>
      <c r="C1493">
        <v>92</v>
      </c>
      <c r="D1493">
        <v>10</v>
      </c>
      <c r="E1493" s="7" t="s">
        <v>127</v>
      </c>
      <c r="F1493" s="7">
        <v>128</v>
      </c>
    </row>
    <row r="1494" spans="1:7" x14ac:dyDescent="0.2">
      <c r="A1494" s="7" t="s">
        <v>162</v>
      </c>
      <c r="B1494">
        <v>72017</v>
      </c>
      <c r="C1494">
        <v>93</v>
      </c>
      <c r="D1494">
        <v>10</v>
      </c>
      <c r="E1494" s="7" t="s">
        <v>200</v>
      </c>
      <c r="F1494" s="9">
        <v>32</v>
      </c>
      <c r="G1494" s="7" t="s">
        <v>206</v>
      </c>
    </row>
    <row r="1495" spans="1:7" x14ac:dyDescent="0.2">
      <c r="A1495" s="7" t="s">
        <v>162</v>
      </c>
      <c r="B1495">
        <v>72017</v>
      </c>
      <c r="C1495">
        <v>94</v>
      </c>
      <c r="D1495">
        <v>10</v>
      </c>
      <c r="E1495" s="7" t="s">
        <v>200</v>
      </c>
      <c r="F1495" s="7">
        <v>32</v>
      </c>
    </row>
    <row r="1496" spans="1:7" x14ac:dyDescent="0.2">
      <c r="A1496" s="7" t="s">
        <v>162</v>
      </c>
      <c r="B1496">
        <v>72017</v>
      </c>
      <c r="C1496">
        <v>95</v>
      </c>
      <c r="D1496">
        <v>10</v>
      </c>
      <c r="E1496" s="7" t="s">
        <v>200</v>
      </c>
      <c r="F1496" s="7" t="s">
        <v>115</v>
      </c>
    </row>
    <row r="1497" spans="1:7" x14ac:dyDescent="0.2">
      <c r="A1497" s="7" t="s">
        <v>162</v>
      </c>
      <c r="B1497">
        <v>72017</v>
      </c>
      <c r="C1497">
        <v>96</v>
      </c>
      <c r="D1497">
        <v>10</v>
      </c>
      <c r="E1497" s="7" t="s">
        <v>200</v>
      </c>
      <c r="F1497" s="7" t="s">
        <v>115</v>
      </c>
    </row>
    <row r="1498" spans="1:7" x14ac:dyDescent="0.2">
      <c r="A1498" s="7" t="s">
        <v>162</v>
      </c>
      <c r="B1498">
        <v>72017</v>
      </c>
      <c r="C1498">
        <v>97</v>
      </c>
      <c r="D1498">
        <v>10</v>
      </c>
      <c r="E1498" s="7" t="s">
        <v>200</v>
      </c>
      <c r="F1498" s="7">
        <v>128</v>
      </c>
    </row>
    <row r="1499" spans="1:7" x14ac:dyDescent="0.2">
      <c r="A1499" s="7" t="s">
        <v>162</v>
      </c>
      <c r="B1499">
        <v>72017</v>
      </c>
      <c r="C1499">
        <v>98</v>
      </c>
      <c r="D1499">
        <v>10</v>
      </c>
      <c r="E1499" s="7" t="s">
        <v>200</v>
      </c>
      <c r="F1499" s="7">
        <v>5.6</v>
      </c>
    </row>
    <row r="1500" spans="1:7" x14ac:dyDescent="0.2">
      <c r="A1500" s="7" t="s">
        <v>162</v>
      </c>
      <c r="B1500">
        <v>72017</v>
      </c>
      <c r="C1500">
        <v>99</v>
      </c>
      <c r="D1500">
        <v>10</v>
      </c>
      <c r="E1500" s="7" t="s">
        <v>200</v>
      </c>
      <c r="F1500" s="7">
        <v>64</v>
      </c>
    </row>
    <row r="1501" spans="1:7" x14ac:dyDescent="0.2">
      <c r="A1501" s="7" t="s">
        <v>162</v>
      </c>
      <c r="B1501">
        <v>72017</v>
      </c>
      <c r="C1501">
        <v>100</v>
      </c>
      <c r="D1501">
        <v>10</v>
      </c>
      <c r="E1501" s="7" t="s">
        <v>200</v>
      </c>
      <c r="F1501" s="7">
        <v>32</v>
      </c>
    </row>
    <row r="1502" spans="1:7" x14ac:dyDescent="0.2">
      <c r="A1502" s="7" t="s">
        <v>161</v>
      </c>
      <c r="B1502">
        <v>72017</v>
      </c>
      <c r="C1502" s="7">
        <v>1</v>
      </c>
      <c r="D1502">
        <v>1</v>
      </c>
      <c r="E1502" s="7" t="s">
        <v>200</v>
      </c>
      <c r="F1502" s="7" t="s">
        <v>115</v>
      </c>
    </row>
    <row r="1503" spans="1:7" x14ac:dyDescent="0.2">
      <c r="A1503" s="7" t="s">
        <v>161</v>
      </c>
      <c r="B1503">
        <v>72017</v>
      </c>
      <c r="C1503">
        <v>2</v>
      </c>
      <c r="D1503">
        <v>1</v>
      </c>
      <c r="E1503" s="7" t="s">
        <v>130</v>
      </c>
      <c r="F1503" s="7" t="s">
        <v>115</v>
      </c>
    </row>
    <row r="1504" spans="1:7" x14ac:dyDescent="0.2">
      <c r="A1504" s="7" t="s">
        <v>161</v>
      </c>
      <c r="B1504">
        <v>72017</v>
      </c>
      <c r="C1504">
        <v>3</v>
      </c>
      <c r="D1504">
        <v>1</v>
      </c>
      <c r="E1504" s="7" t="s">
        <v>130</v>
      </c>
      <c r="F1504" s="7">
        <v>5.6</v>
      </c>
    </row>
    <row r="1505" spans="1:6" x14ac:dyDescent="0.2">
      <c r="A1505" s="7" t="s">
        <v>161</v>
      </c>
      <c r="B1505">
        <v>72017</v>
      </c>
      <c r="C1505" s="7">
        <v>4</v>
      </c>
      <c r="D1505">
        <v>1</v>
      </c>
      <c r="E1505" s="7" t="s">
        <v>130</v>
      </c>
      <c r="F1505" s="7" t="s">
        <v>115</v>
      </c>
    </row>
    <row r="1506" spans="1:6" x14ac:dyDescent="0.2">
      <c r="A1506" s="7" t="s">
        <v>161</v>
      </c>
      <c r="B1506">
        <v>72017</v>
      </c>
      <c r="C1506">
        <v>5</v>
      </c>
      <c r="D1506">
        <v>2</v>
      </c>
      <c r="E1506" s="7" t="s">
        <v>130</v>
      </c>
      <c r="F1506">
        <v>4</v>
      </c>
    </row>
    <row r="1507" spans="1:6" x14ac:dyDescent="0.2">
      <c r="A1507" s="7" t="s">
        <v>161</v>
      </c>
      <c r="B1507">
        <v>72017</v>
      </c>
      <c r="C1507">
        <v>6</v>
      </c>
      <c r="D1507">
        <v>2</v>
      </c>
      <c r="E1507" s="7" t="s">
        <v>130</v>
      </c>
      <c r="F1507">
        <v>2.8</v>
      </c>
    </row>
    <row r="1508" spans="1:6" x14ac:dyDescent="0.2">
      <c r="A1508" s="7" t="s">
        <v>161</v>
      </c>
      <c r="B1508">
        <v>72017</v>
      </c>
      <c r="C1508" s="7">
        <v>7</v>
      </c>
      <c r="D1508">
        <v>2</v>
      </c>
      <c r="E1508" s="7" t="s">
        <v>200</v>
      </c>
      <c r="F1508" s="7" t="s">
        <v>115</v>
      </c>
    </row>
    <row r="1509" spans="1:6" x14ac:dyDescent="0.2">
      <c r="A1509" s="7" t="s">
        <v>161</v>
      </c>
      <c r="B1509">
        <v>72017</v>
      </c>
      <c r="C1509">
        <v>8</v>
      </c>
      <c r="D1509">
        <v>2</v>
      </c>
      <c r="E1509" s="7" t="s">
        <v>200</v>
      </c>
      <c r="F1509" s="7" t="s">
        <v>115</v>
      </c>
    </row>
    <row r="1510" spans="1:6" x14ac:dyDescent="0.2">
      <c r="A1510" s="7" t="s">
        <v>161</v>
      </c>
      <c r="B1510">
        <v>72017</v>
      </c>
      <c r="C1510">
        <v>9</v>
      </c>
      <c r="D1510">
        <v>2</v>
      </c>
      <c r="E1510" s="7" t="s">
        <v>200</v>
      </c>
      <c r="F1510" s="7" t="s">
        <v>115</v>
      </c>
    </row>
    <row r="1511" spans="1:6" x14ac:dyDescent="0.2">
      <c r="A1511" s="7" t="s">
        <v>161</v>
      </c>
      <c r="B1511">
        <v>72017</v>
      </c>
      <c r="C1511" s="7">
        <v>10</v>
      </c>
      <c r="D1511">
        <v>3</v>
      </c>
      <c r="E1511" s="7" t="s">
        <v>200</v>
      </c>
      <c r="F1511" s="7" t="s">
        <v>115</v>
      </c>
    </row>
    <row r="1512" spans="1:6" x14ac:dyDescent="0.2">
      <c r="A1512" s="7" t="s">
        <v>161</v>
      </c>
      <c r="B1512">
        <v>72017</v>
      </c>
      <c r="C1512">
        <v>11</v>
      </c>
      <c r="D1512">
        <v>3</v>
      </c>
      <c r="E1512" s="7" t="s">
        <v>200</v>
      </c>
      <c r="F1512">
        <v>2.8</v>
      </c>
    </row>
    <row r="1513" spans="1:6" x14ac:dyDescent="0.2">
      <c r="A1513" s="7" t="s">
        <v>161</v>
      </c>
      <c r="B1513">
        <v>72017</v>
      </c>
      <c r="C1513">
        <v>12</v>
      </c>
      <c r="D1513">
        <v>3</v>
      </c>
      <c r="E1513" s="7" t="s">
        <v>130</v>
      </c>
      <c r="F1513">
        <v>4</v>
      </c>
    </row>
    <row r="1514" spans="1:6" x14ac:dyDescent="0.2">
      <c r="A1514" s="7" t="s">
        <v>161</v>
      </c>
      <c r="B1514">
        <v>72017</v>
      </c>
      <c r="C1514" s="7">
        <v>13</v>
      </c>
      <c r="D1514">
        <v>3</v>
      </c>
      <c r="E1514" s="7" t="s">
        <v>130</v>
      </c>
      <c r="F1514">
        <v>8</v>
      </c>
    </row>
    <row r="1515" spans="1:6" x14ac:dyDescent="0.2">
      <c r="A1515" s="7" t="s">
        <v>161</v>
      </c>
      <c r="B1515">
        <v>72017</v>
      </c>
      <c r="C1515">
        <v>14</v>
      </c>
      <c r="D1515">
        <v>3</v>
      </c>
      <c r="E1515" s="7" t="s">
        <v>130</v>
      </c>
      <c r="F1515" s="7" t="s">
        <v>115</v>
      </c>
    </row>
    <row r="1516" spans="1:6" x14ac:dyDescent="0.2">
      <c r="A1516" s="7" t="s">
        <v>161</v>
      </c>
      <c r="B1516">
        <v>72017</v>
      </c>
      <c r="C1516">
        <v>15</v>
      </c>
      <c r="D1516">
        <v>3</v>
      </c>
      <c r="E1516" s="7" t="s">
        <v>200</v>
      </c>
      <c r="F1516" s="7" t="s">
        <v>115</v>
      </c>
    </row>
    <row r="1517" spans="1:6" x14ac:dyDescent="0.2">
      <c r="A1517" s="7" t="s">
        <v>161</v>
      </c>
      <c r="B1517">
        <v>72017</v>
      </c>
      <c r="C1517" s="7">
        <v>16</v>
      </c>
      <c r="D1517">
        <v>4</v>
      </c>
      <c r="E1517" s="7" t="s">
        <v>200</v>
      </c>
      <c r="F1517" s="7" t="s">
        <v>115</v>
      </c>
    </row>
    <row r="1518" spans="1:6" x14ac:dyDescent="0.2">
      <c r="A1518" s="7" t="s">
        <v>161</v>
      </c>
      <c r="B1518">
        <v>72017</v>
      </c>
      <c r="C1518">
        <v>17</v>
      </c>
      <c r="D1518">
        <v>4</v>
      </c>
      <c r="E1518" s="7" t="s">
        <v>130</v>
      </c>
      <c r="F1518">
        <v>5.6</v>
      </c>
    </row>
    <row r="1519" spans="1:6" x14ac:dyDescent="0.2">
      <c r="A1519" s="7" t="s">
        <v>161</v>
      </c>
      <c r="B1519">
        <v>72017</v>
      </c>
      <c r="C1519">
        <v>18</v>
      </c>
      <c r="D1519">
        <v>4</v>
      </c>
      <c r="E1519" s="7" t="s">
        <v>130</v>
      </c>
      <c r="F1519">
        <v>5.6</v>
      </c>
    </row>
    <row r="1520" spans="1:6" x14ac:dyDescent="0.2">
      <c r="A1520" s="7" t="s">
        <v>161</v>
      </c>
      <c r="B1520">
        <v>72017</v>
      </c>
      <c r="C1520" s="7">
        <v>19</v>
      </c>
      <c r="D1520">
        <v>4</v>
      </c>
      <c r="E1520" s="7" t="s">
        <v>130</v>
      </c>
      <c r="F1520">
        <v>4</v>
      </c>
    </row>
    <row r="1521" spans="1:6" x14ac:dyDescent="0.2">
      <c r="A1521" s="7" t="s">
        <v>161</v>
      </c>
      <c r="B1521">
        <v>72017</v>
      </c>
      <c r="C1521">
        <v>20</v>
      </c>
      <c r="D1521">
        <v>4</v>
      </c>
      <c r="E1521" s="7" t="s">
        <v>200</v>
      </c>
      <c r="F1521" s="7" t="s">
        <v>115</v>
      </c>
    </row>
    <row r="1522" spans="1:6" x14ac:dyDescent="0.2">
      <c r="A1522" s="7" t="s">
        <v>161</v>
      </c>
      <c r="B1522">
        <v>72017</v>
      </c>
      <c r="C1522">
        <v>21</v>
      </c>
      <c r="D1522">
        <v>5</v>
      </c>
      <c r="E1522" s="7" t="s">
        <v>200</v>
      </c>
      <c r="F1522" s="7">
        <v>5.6</v>
      </c>
    </row>
    <row r="1523" spans="1:6" x14ac:dyDescent="0.2">
      <c r="A1523" s="7" t="s">
        <v>161</v>
      </c>
      <c r="B1523">
        <v>72017</v>
      </c>
      <c r="C1523" s="7">
        <v>22</v>
      </c>
      <c r="D1523">
        <v>5</v>
      </c>
      <c r="E1523" s="7" t="s">
        <v>200</v>
      </c>
      <c r="F1523" s="7">
        <v>2.8</v>
      </c>
    </row>
    <row r="1524" spans="1:6" x14ac:dyDescent="0.2">
      <c r="A1524" s="7" t="s">
        <v>161</v>
      </c>
      <c r="B1524">
        <v>72017</v>
      </c>
      <c r="C1524">
        <v>23</v>
      </c>
      <c r="D1524">
        <v>5</v>
      </c>
      <c r="E1524" s="7" t="s">
        <v>130</v>
      </c>
      <c r="F1524" s="7">
        <v>4</v>
      </c>
    </row>
    <row r="1525" spans="1:6" x14ac:dyDescent="0.2">
      <c r="A1525" s="7" t="s">
        <v>161</v>
      </c>
      <c r="B1525">
        <v>72017</v>
      </c>
      <c r="C1525">
        <v>24</v>
      </c>
      <c r="D1525">
        <v>5</v>
      </c>
      <c r="E1525" s="7" t="s">
        <v>130</v>
      </c>
      <c r="F1525" s="7">
        <v>2.8</v>
      </c>
    </row>
    <row r="1526" spans="1:6" x14ac:dyDescent="0.2">
      <c r="A1526" s="7" t="s">
        <v>161</v>
      </c>
      <c r="B1526">
        <v>72017</v>
      </c>
      <c r="C1526" s="7">
        <v>25</v>
      </c>
      <c r="D1526">
        <v>5</v>
      </c>
      <c r="E1526" s="7" t="s">
        <v>130</v>
      </c>
      <c r="F1526" s="7">
        <v>8</v>
      </c>
    </row>
    <row r="1527" spans="1:6" x14ac:dyDescent="0.2">
      <c r="A1527" s="7" t="s">
        <v>161</v>
      </c>
      <c r="B1527">
        <v>72017</v>
      </c>
      <c r="C1527">
        <v>26</v>
      </c>
      <c r="D1527">
        <v>5</v>
      </c>
      <c r="E1527" s="7" t="s">
        <v>200</v>
      </c>
      <c r="F1527" s="7" t="s">
        <v>115</v>
      </c>
    </row>
    <row r="1528" spans="1:6" x14ac:dyDescent="0.2">
      <c r="A1528" s="7" t="s">
        <v>161</v>
      </c>
      <c r="B1528">
        <v>72017</v>
      </c>
      <c r="C1528">
        <v>27</v>
      </c>
      <c r="D1528">
        <v>6</v>
      </c>
      <c r="E1528" s="7" t="s">
        <v>200</v>
      </c>
      <c r="F1528" s="7" t="s">
        <v>115</v>
      </c>
    </row>
    <row r="1529" spans="1:6" x14ac:dyDescent="0.2">
      <c r="A1529" s="7" t="s">
        <v>161</v>
      </c>
      <c r="B1529">
        <v>72017</v>
      </c>
      <c r="C1529" s="7">
        <v>28</v>
      </c>
      <c r="D1529">
        <v>6</v>
      </c>
      <c r="E1529" s="7" t="s">
        <v>130</v>
      </c>
      <c r="F1529" s="7">
        <v>128</v>
      </c>
    </row>
    <row r="1530" spans="1:6" x14ac:dyDescent="0.2">
      <c r="A1530" s="7" t="s">
        <v>161</v>
      </c>
      <c r="B1530">
        <v>72017</v>
      </c>
      <c r="C1530">
        <v>29</v>
      </c>
      <c r="D1530">
        <v>6</v>
      </c>
      <c r="E1530" s="7" t="s">
        <v>130</v>
      </c>
      <c r="F1530" s="7">
        <v>5.6</v>
      </c>
    </row>
    <row r="1531" spans="1:6" x14ac:dyDescent="0.2">
      <c r="A1531" s="7" t="s">
        <v>161</v>
      </c>
      <c r="B1531">
        <v>72017</v>
      </c>
      <c r="C1531">
        <v>30</v>
      </c>
      <c r="D1531">
        <v>6</v>
      </c>
      <c r="E1531" s="7" t="s">
        <v>130</v>
      </c>
      <c r="F1531" s="7">
        <v>8</v>
      </c>
    </row>
    <row r="1532" spans="1:6" x14ac:dyDescent="0.2">
      <c r="A1532" s="7" t="s">
        <v>161</v>
      </c>
      <c r="B1532">
        <v>72017</v>
      </c>
      <c r="C1532" s="7">
        <v>31</v>
      </c>
      <c r="D1532">
        <v>6</v>
      </c>
      <c r="E1532" s="7" t="s">
        <v>130</v>
      </c>
      <c r="F1532" s="7" t="s">
        <v>115</v>
      </c>
    </row>
    <row r="1533" spans="1:6" x14ac:dyDescent="0.2">
      <c r="A1533" s="7" t="s">
        <v>161</v>
      </c>
      <c r="B1533">
        <v>72017</v>
      </c>
      <c r="C1533">
        <v>32</v>
      </c>
      <c r="D1533">
        <v>7</v>
      </c>
      <c r="E1533" s="7" t="s">
        <v>130</v>
      </c>
      <c r="F1533" s="7">
        <v>4</v>
      </c>
    </row>
    <row r="1534" spans="1:6" x14ac:dyDescent="0.2">
      <c r="A1534" s="7" t="s">
        <v>161</v>
      </c>
      <c r="B1534">
        <v>72017</v>
      </c>
      <c r="C1534">
        <v>33</v>
      </c>
      <c r="D1534">
        <v>7</v>
      </c>
      <c r="E1534" s="7" t="s">
        <v>130</v>
      </c>
      <c r="F1534" s="7">
        <v>5.6</v>
      </c>
    </row>
    <row r="1535" spans="1:6" x14ac:dyDescent="0.2">
      <c r="A1535" s="7" t="s">
        <v>161</v>
      </c>
      <c r="B1535">
        <v>72017</v>
      </c>
      <c r="C1535" s="7">
        <v>34</v>
      </c>
      <c r="D1535">
        <v>7</v>
      </c>
      <c r="E1535" s="7" t="s">
        <v>130</v>
      </c>
      <c r="F1535" s="7">
        <v>5.6</v>
      </c>
    </row>
    <row r="1536" spans="1:6" x14ac:dyDescent="0.2">
      <c r="A1536" s="7" t="s">
        <v>161</v>
      </c>
      <c r="B1536">
        <v>72017</v>
      </c>
      <c r="C1536">
        <v>35</v>
      </c>
      <c r="D1536">
        <v>8</v>
      </c>
      <c r="E1536" s="7" t="s">
        <v>130</v>
      </c>
      <c r="F1536" s="7">
        <v>11</v>
      </c>
    </row>
    <row r="1537" spans="1:7" x14ac:dyDescent="0.2">
      <c r="A1537" s="7" t="s">
        <v>161</v>
      </c>
      <c r="B1537">
        <v>72017</v>
      </c>
      <c r="C1537">
        <v>36</v>
      </c>
      <c r="D1537">
        <v>8</v>
      </c>
      <c r="E1537" s="7" t="s">
        <v>130</v>
      </c>
      <c r="F1537" s="7" t="s">
        <v>115</v>
      </c>
    </row>
    <row r="1538" spans="1:7" x14ac:dyDescent="0.2">
      <c r="A1538" s="7" t="s">
        <v>161</v>
      </c>
      <c r="B1538">
        <v>72017</v>
      </c>
      <c r="C1538" s="7">
        <v>37</v>
      </c>
      <c r="D1538">
        <v>8</v>
      </c>
      <c r="E1538" s="7" t="s">
        <v>130</v>
      </c>
      <c r="F1538" s="7" t="s">
        <v>115</v>
      </c>
    </row>
    <row r="1539" spans="1:7" x14ac:dyDescent="0.2">
      <c r="A1539" s="7" t="s">
        <v>161</v>
      </c>
      <c r="B1539">
        <v>72017</v>
      </c>
      <c r="C1539">
        <v>38</v>
      </c>
      <c r="D1539">
        <v>8</v>
      </c>
      <c r="E1539" s="7" t="s">
        <v>200</v>
      </c>
      <c r="F1539" s="7" t="s">
        <v>115</v>
      </c>
    </row>
    <row r="1540" spans="1:7" x14ac:dyDescent="0.2">
      <c r="A1540" s="7" t="s">
        <v>161</v>
      </c>
      <c r="B1540">
        <v>72017</v>
      </c>
      <c r="C1540">
        <v>39</v>
      </c>
      <c r="D1540">
        <v>8</v>
      </c>
      <c r="E1540" s="7" t="s">
        <v>200</v>
      </c>
      <c r="F1540" s="7" t="s">
        <v>115</v>
      </c>
    </row>
    <row r="1541" spans="1:7" x14ac:dyDescent="0.2">
      <c r="A1541" s="7" t="s">
        <v>161</v>
      </c>
      <c r="B1541">
        <v>72017</v>
      </c>
      <c r="C1541" s="7">
        <v>40</v>
      </c>
      <c r="D1541">
        <v>9</v>
      </c>
      <c r="E1541" s="7" t="s">
        <v>200</v>
      </c>
      <c r="F1541" s="7" t="s">
        <v>115</v>
      </c>
      <c r="G1541" s="7" t="s">
        <v>204</v>
      </c>
    </row>
    <row r="1542" spans="1:7" x14ac:dyDescent="0.2">
      <c r="A1542" s="7" t="s">
        <v>161</v>
      </c>
      <c r="B1542">
        <v>72017</v>
      </c>
      <c r="C1542">
        <v>41</v>
      </c>
      <c r="D1542">
        <v>9</v>
      </c>
      <c r="E1542" s="7" t="s">
        <v>200</v>
      </c>
      <c r="F1542">
        <v>180</v>
      </c>
      <c r="G1542" s="7" t="s">
        <v>204</v>
      </c>
    </row>
    <row r="1543" spans="1:7" x14ac:dyDescent="0.2">
      <c r="A1543" s="7" t="s">
        <v>161</v>
      </c>
      <c r="B1543">
        <v>72017</v>
      </c>
      <c r="C1543">
        <v>42</v>
      </c>
      <c r="D1543">
        <v>9</v>
      </c>
      <c r="E1543" s="7" t="s">
        <v>127</v>
      </c>
      <c r="F1543">
        <v>5.6</v>
      </c>
      <c r="G1543" s="7" t="s">
        <v>204</v>
      </c>
    </row>
    <row r="1544" spans="1:7" x14ac:dyDescent="0.2">
      <c r="A1544" s="7" t="s">
        <v>161</v>
      </c>
      <c r="B1544">
        <v>72017</v>
      </c>
      <c r="C1544" s="7">
        <v>43</v>
      </c>
      <c r="D1544">
        <v>9</v>
      </c>
      <c r="E1544" s="7" t="s">
        <v>127</v>
      </c>
      <c r="F1544">
        <v>2.8</v>
      </c>
      <c r="G1544" s="7" t="s">
        <v>204</v>
      </c>
    </row>
    <row r="1545" spans="1:7" x14ac:dyDescent="0.2">
      <c r="A1545" s="7" t="s">
        <v>161</v>
      </c>
      <c r="B1545">
        <v>72017</v>
      </c>
      <c r="C1545">
        <v>44</v>
      </c>
      <c r="D1545">
        <v>9</v>
      </c>
      <c r="E1545" s="7" t="s">
        <v>127</v>
      </c>
      <c r="F1545">
        <v>11</v>
      </c>
      <c r="G1545" s="7" t="s">
        <v>204</v>
      </c>
    </row>
    <row r="1546" spans="1:7" x14ac:dyDescent="0.2">
      <c r="A1546" s="7" t="s">
        <v>161</v>
      </c>
      <c r="B1546">
        <v>72017</v>
      </c>
      <c r="C1546">
        <v>45</v>
      </c>
      <c r="D1546">
        <v>9</v>
      </c>
      <c r="E1546" s="7" t="s">
        <v>127</v>
      </c>
      <c r="F1546">
        <v>8</v>
      </c>
      <c r="G1546" s="7" t="s">
        <v>204</v>
      </c>
    </row>
    <row r="1547" spans="1:7" x14ac:dyDescent="0.2">
      <c r="A1547" s="7" t="s">
        <v>161</v>
      </c>
      <c r="B1547">
        <v>72017</v>
      </c>
      <c r="C1547" s="7">
        <v>46</v>
      </c>
      <c r="D1547">
        <v>9</v>
      </c>
      <c r="E1547" s="7" t="s">
        <v>127</v>
      </c>
      <c r="F1547">
        <v>22.6</v>
      </c>
      <c r="G1547" s="7" t="s">
        <v>204</v>
      </c>
    </row>
    <row r="1548" spans="1:7" x14ac:dyDescent="0.2">
      <c r="A1548" s="7" t="s">
        <v>161</v>
      </c>
      <c r="B1548">
        <v>72017</v>
      </c>
      <c r="C1548">
        <v>47</v>
      </c>
      <c r="D1548">
        <v>9</v>
      </c>
      <c r="E1548" s="7" t="s">
        <v>200</v>
      </c>
      <c r="F1548">
        <v>8</v>
      </c>
      <c r="G1548" s="7" t="s">
        <v>204</v>
      </c>
    </row>
    <row r="1549" spans="1:7" x14ac:dyDescent="0.2">
      <c r="A1549" s="7" t="s">
        <v>161</v>
      </c>
      <c r="B1549">
        <v>72017</v>
      </c>
      <c r="C1549">
        <v>48</v>
      </c>
      <c r="D1549">
        <v>9</v>
      </c>
      <c r="E1549" s="7" t="s">
        <v>200</v>
      </c>
      <c r="F1549" s="7" t="s">
        <v>115</v>
      </c>
      <c r="G1549" s="7" t="s">
        <v>204</v>
      </c>
    </row>
    <row r="1550" spans="1:7" x14ac:dyDescent="0.2">
      <c r="A1550" s="7" t="s">
        <v>161</v>
      </c>
      <c r="B1550">
        <v>72017</v>
      </c>
      <c r="C1550" s="7">
        <v>49</v>
      </c>
      <c r="D1550">
        <v>9</v>
      </c>
      <c r="E1550" s="7" t="s">
        <v>200</v>
      </c>
      <c r="F1550" s="7" t="s">
        <v>115</v>
      </c>
      <c r="G1550" s="7" t="s">
        <v>204</v>
      </c>
    </row>
    <row r="1551" spans="1:7" x14ac:dyDescent="0.2">
      <c r="A1551" s="7" t="s">
        <v>161</v>
      </c>
      <c r="B1551">
        <v>72017</v>
      </c>
      <c r="C1551">
        <v>50</v>
      </c>
      <c r="D1551">
        <v>10</v>
      </c>
      <c r="E1551" s="7" t="s">
        <v>127</v>
      </c>
      <c r="F1551" s="7">
        <v>128</v>
      </c>
      <c r="G1551" s="7" t="s">
        <v>204</v>
      </c>
    </row>
    <row r="1552" spans="1:7" x14ac:dyDescent="0.2">
      <c r="A1552" s="7" t="s">
        <v>161</v>
      </c>
      <c r="B1552">
        <v>72017</v>
      </c>
      <c r="C1552">
        <v>51</v>
      </c>
      <c r="D1552">
        <v>11</v>
      </c>
      <c r="E1552" s="7" t="s">
        <v>127</v>
      </c>
      <c r="F1552" s="7">
        <v>64</v>
      </c>
      <c r="G1552" s="7" t="s">
        <v>204</v>
      </c>
    </row>
    <row r="1553" spans="1:7" x14ac:dyDescent="0.2">
      <c r="A1553" s="7" t="s">
        <v>161</v>
      </c>
      <c r="B1553">
        <v>72017</v>
      </c>
      <c r="C1553" s="7">
        <v>52</v>
      </c>
      <c r="D1553">
        <v>11</v>
      </c>
      <c r="E1553" s="7" t="s">
        <v>127</v>
      </c>
      <c r="F1553" s="7">
        <v>90</v>
      </c>
      <c r="G1553" s="7" t="s">
        <v>204</v>
      </c>
    </row>
    <row r="1554" spans="1:7" x14ac:dyDescent="0.2">
      <c r="A1554" s="7" t="s">
        <v>161</v>
      </c>
      <c r="B1554">
        <v>72017</v>
      </c>
      <c r="C1554">
        <v>53</v>
      </c>
      <c r="D1554">
        <v>12</v>
      </c>
      <c r="E1554" s="7" t="s">
        <v>127</v>
      </c>
      <c r="F1554" s="7">
        <v>90</v>
      </c>
      <c r="G1554" s="7" t="s">
        <v>204</v>
      </c>
    </row>
    <row r="1555" spans="1:7" x14ac:dyDescent="0.2">
      <c r="A1555" s="7" t="s">
        <v>161</v>
      </c>
      <c r="B1555">
        <v>72017</v>
      </c>
      <c r="C1555">
        <v>54</v>
      </c>
      <c r="D1555">
        <v>12</v>
      </c>
      <c r="E1555" s="7" t="s">
        <v>127</v>
      </c>
      <c r="F1555" s="7">
        <v>90</v>
      </c>
    </row>
    <row r="1556" spans="1:7" x14ac:dyDescent="0.2">
      <c r="A1556" s="7" t="s">
        <v>161</v>
      </c>
      <c r="B1556">
        <v>72017</v>
      </c>
      <c r="C1556" s="7">
        <v>55</v>
      </c>
      <c r="D1556">
        <v>12</v>
      </c>
      <c r="E1556" s="7" t="s">
        <v>127</v>
      </c>
      <c r="F1556" s="7">
        <v>64</v>
      </c>
    </row>
    <row r="1557" spans="1:7" x14ac:dyDescent="0.2">
      <c r="A1557" s="7" t="s">
        <v>161</v>
      </c>
      <c r="B1557">
        <v>72017</v>
      </c>
      <c r="C1557">
        <v>56</v>
      </c>
      <c r="D1557">
        <v>12</v>
      </c>
      <c r="E1557" s="7" t="s">
        <v>127</v>
      </c>
      <c r="F1557" s="7">
        <v>128</v>
      </c>
    </row>
    <row r="1558" spans="1:7" x14ac:dyDescent="0.2">
      <c r="A1558" s="7" t="s">
        <v>161</v>
      </c>
      <c r="B1558">
        <v>72017</v>
      </c>
      <c r="C1558">
        <v>57</v>
      </c>
      <c r="D1558">
        <v>12</v>
      </c>
      <c r="E1558" s="7" t="s">
        <v>127</v>
      </c>
      <c r="F1558" s="7">
        <v>32</v>
      </c>
    </row>
    <row r="1559" spans="1:7" x14ac:dyDescent="0.2">
      <c r="A1559" s="7" t="s">
        <v>161</v>
      </c>
      <c r="B1559">
        <v>72017</v>
      </c>
      <c r="C1559" s="7">
        <v>58</v>
      </c>
      <c r="D1559">
        <v>12</v>
      </c>
      <c r="E1559" s="7" t="s">
        <v>127</v>
      </c>
      <c r="F1559" s="7">
        <v>22.6</v>
      </c>
    </row>
    <row r="1560" spans="1:7" x14ac:dyDescent="0.2">
      <c r="A1560" s="7" t="s">
        <v>161</v>
      </c>
      <c r="B1560">
        <v>72017</v>
      </c>
      <c r="C1560">
        <v>59</v>
      </c>
      <c r="D1560">
        <v>13</v>
      </c>
      <c r="E1560" s="7" t="s">
        <v>127</v>
      </c>
      <c r="F1560" s="7">
        <v>22.6</v>
      </c>
    </row>
    <row r="1561" spans="1:7" x14ac:dyDescent="0.2">
      <c r="A1561" s="7" t="s">
        <v>161</v>
      </c>
      <c r="B1561">
        <v>72017</v>
      </c>
      <c r="C1561">
        <v>60</v>
      </c>
      <c r="D1561">
        <v>13</v>
      </c>
      <c r="E1561" s="7" t="s">
        <v>127</v>
      </c>
      <c r="F1561" s="7">
        <v>22.6</v>
      </c>
    </row>
    <row r="1562" spans="1:7" x14ac:dyDescent="0.2">
      <c r="A1562" s="7" t="s">
        <v>161</v>
      </c>
      <c r="B1562">
        <v>72017</v>
      </c>
      <c r="C1562" s="7">
        <v>61</v>
      </c>
      <c r="D1562">
        <v>13</v>
      </c>
      <c r="E1562" s="7" t="s">
        <v>127</v>
      </c>
      <c r="F1562" s="7">
        <v>90</v>
      </c>
    </row>
    <row r="1563" spans="1:7" x14ac:dyDescent="0.2">
      <c r="A1563" s="7" t="s">
        <v>161</v>
      </c>
      <c r="B1563">
        <v>72017</v>
      </c>
      <c r="C1563">
        <v>62</v>
      </c>
      <c r="D1563">
        <v>13</v>
      </c>
      <c r="E1563" s="7" t="s">
        <v>127</v>
      </c>
      <c r="F1563" s="7">
        <v>64</v>
      </c>
    </row>
    <row r="1564" spans="1:7" x14ac:dyDescent="0.2">
      <c r="A1564" s="7" t="s">
        <v>161</v>
      </c>
      <c r="B1564">
        <v>72017</v>
      </c>
      <c r="C1564">
        <v>63</v>
      </c>
      <c r="D1564">
        <v>14</v>
      </c>
      <c r="E1564" s="7" t="s">
        <v>127</v>
      </c>
      <c r="F1564" s="7">
        <v>5.6</v>
      </c>
    </row>
    <row r="1565" spans="1:7" x14ac:dyDescent="0.2">
      <c r="A1565" s="7" t="s">
        <v>161</v>
      </c>
      <c r="B1565">
        <v>72017</v>
      </c>
      <c r="C1565" s="7">
        <v>64</v>
      </c>
      <c r="D1565">
        <v>14</v>
      </c>
      <c r="E1565" s="7" t="s">
        <v>127</v>
      </c>
      <c r="F1565" s="7">
        <v>64</v>
      </c>
    </row>
    <row r="1566" spans="1:7" x14ac:dyDescent="0.2">
      <c r="A1566" s="7" t="s">
        <v>161</v>
      </c>
      <c r="B1566">
        <v>72017</v>
      </c>
      <c r="C1566">
        <v>65</v>
      </c>
      <c r="D1566">
        <v>14</v>
      </c>
      <c r="E1566" s="7" t="s">
        <v>127</v>
      </c>
      <c r="F1566" s="7">
        <v>2.8</v>
      </c>
    </row>
    <row r="1567" spans="1:7" x14ac:dyDescent="0.2">
      <c r="A1567" s="7" t="s">
        <v>161</v>
      </c>
      <c r="B1567">
        <v>72017</v>
      </c>
      <c r="C1567">
        <v>66</v>
      </c>
      <c r="D1567">
        <v>14</v>
      </c>
      <c r="E1567" s="7" t="s">
        <v>127</v>
      </c>
      <c r="F1567" s="7">
        <v>2.8</v>
      </c>
    </row>
    <row r="1568" spans="1:7" x14ac:dyDescent="0.2">
      <c r="A1568" s="7" t="s">
        <v>161</v>
      </c>
      <c r="B1568">
        <v>72017</v>
      </c>
      <c r="C1568" s="7">
        <v>67</v>
      </c>
      <c r="D1568">
        <v>14</v>
      </c>
      <c r="E1568" s="7" t="s">
        <v>127</v>
      </c>
      <c r="F1568" s="7">
        <v>64</v>
      </c>
    </row>
    <row r="1569" spans="1:6" x14ac:dyDescent="0.2">
      <c r="A1569" s="7" t="s">
        <v>161</v>
      </c>
      <c r="B1569">
        <v>72017</v>
      </c>
      <c r="C1569">
        <v>68</v>
      </c>
      <c r="D1569">
        <v>15</v>
      </c>
      <c r="E1569" s="7" t="s">
        <v>127</v>
      </c>
      <c r="F1569" s="7">
        <v>45</v>
      </c>
    </row>
    <row r="1570" spans="1:6" x14ac:dyDescent="0.2">
      <c r="A1570" s="7" t="s">
        <v>161</v>
      </c>
      <c r="B1570">
        <v>72017</v>
      </c>
      <c r="C1570">
        <v>69</v>
      </c>
      <c r="D1570">
        <v>15</v>
      </c>
      <c r="E1570" s="7" t="s">
        <v>127</v>
      </c>
      <c r="F1570" s="7">
        <v>32</v>
      </c>
    </row>
    <row r="1571" spans="1:6" x14ac:dyDescent="0.2">
      <c r="A1571" s="7" t="s">
        <v>161</v>
      </c>
      <c r="B1571">
        <v>72017</v>
      </c>
      <c r="C1571" s="7">
        <v>70</v>
      </c>
      <c r="D1571">
        <v>15</v>
      </c>
      <c r="E1571" s="7" t="s">
        <v>127</v>
      </c>
      <c r="F1571" s="7">
        <v>64</v>
      </c>
    </row>
    <row r="1572" spans="1:6" x14ac:dyDescent="0.2">
      <c r="A1572" s="7" t="s">
        <v>161</v>
      </c>
      <c r="B1572">
        <v>72017</v>
      </c>
      <c r="C1572">
        <v>71</v>
      </c>
      <c r="D1572">
        <v>15</v>
      </c>
      <c r="E1572" s="7" t="s">
        <v>127</v>
      </c>
      <c r="F1572" s="7">
        <v>4</v>
      </c>
    </row>
    <row r="1573" spans="1:6" x14ac:dyDescent="0.2">
      <c r="A1573" s="7" t="s">
        <v>161</v>
      </c>
      <c r="B1573">
        <v>72017</v>
      </c>
      <c r="C1573">
        <v>72</v>
      </c>
      <c r="D1573">
        <v>15</v>
      </c>
      <c r="E1573" s="7" t="s">
        <v>127</v>
      </c>
      <c r="F1573" s="7" t="s">
        <v>115</v>
      </c>
    </row>
    <row r="1574" spans="1:6" x14ac:dyDescent="0.2">
      <c r="A1574" s="7" t="s">
        <v>161</v>
      </c>
      <c r="B1574">
        <v>72017</v>
      </c>
      <c r="C1574" s="7">
        <v>73</v>
      </c>
      <c r="D1574">
        <v>15</v>
      </c>
      <c r="E1574" s="7" t="s">
        <v>200</v>
      </c>
      <c r="F1574" s="7" t="s">
        <v>115</v>
      </c>
    </row>
    <row r="1575" spans="1:6" x14ac:dyDescent="0.2">
      <c r="A1575" s="7" t="s">
        <v>161</v>
      </c>
      <c r="B1575">
        <v>72017</v>
      </c>
      <c r="C1575">
        <v>74</v>
      </c>
      <c r="D1575">
        <v>15</v>
      </c>
      <c r="E1575" s="7" t="s">
        <v>200</v>
      </c>
      <c r="F1575" s="7" t="s">
        <v>115</v>
      </c>
    </row>
    <row r="1576" spans="1:6" x14ac:dyDescent="0.2">
      <c r="A1576" s="7" t="s">
        <v>161</v>
      </c>
      <c r="B1576">
        <v>72017</v>
      </c>
      <c r="C1576">
        <v>75</v>
      </c>
      <c r="D1576">
        <v>16</v>
      </c>
      <c r="E1576" s="7" t="s">
        <v>200</v>
      </c>
      <c r="F1576">
        <v>22.6</v>
      </c>
    </row>
    <row r="1577" spans="1:6" x14ac:dyDescent="0.2">
      <c r="A1577" s="7" t="s">
        <v>161</v>
      </c>
      <c r="B1577">
        <v>72017</v>
      </c>
      <c r="C1577" s="7">
        <v>76</v>
      </c>
      <c r="D1577">
        <v>16</v>
      </c>
      <c r="E1577" s="7" t="s">
        <v>200</v>
      </c>
      <c r="F1577">
        <v>64</v>
      </c>
    </row>
    <row r="1578" spans="1:6" x14ac:dyDescent="0.2">
      <c r="A1578" s="7" t="s">
        <v>161</v>
      </c>
      <c r="B1578">
        <v>72017</v>
      </c>
      <c r="C1578">
        <v>77</v>
      </c>
      <c r="D1578">
        <v>16</v>
      </c>
      <c r="E1578" s="7" t="s">
        <v>127</v>
      </c>
      <c r="F1578">
        <v>180</v>
      </c>
    </row>
    <row r="1579" spans="1:6" x14ac:dyDescent="0.2">
      <c r="A1579" s="7" t="s">
        <v>161</v>
      </c>
      <c r="B1579">
        <v>72017</v>
      </c>
      <c r="C1579">
        <v>78</v>
      </c>
      <c r="D1579">
        <v>16</v>
      </c>
      <c r="E1579" s="7" t="s">
        <v>127</v>
      </c>
      <c r="F1579">
        <v>32</v>
      </c>
    </row>
    <row r="1580" spans="1:6" x14ac:dyDescent="0.2">
      <c r="A1580" s="7" t="s">
        <v>161</v>
      </c>
      <c r="B1580">
        <v>72017</v>
      </c>
      <c r="C1580" s="7">
        <v>79</v>
      </c>
      <c r="D1580">
        <v>16</v>
      </c>
      <c r="E1580" s="7" t="s">
        <v>127</v>
      </c>
      <c r="F1580">
        <v>128</v>
      </c>
    </row>
    <row r="1581" spans="1:6" x14ac:dyDescent="0.2">
      <c r="A1581" s="7" t="s">
        <v>161</v>
      </c>
      <c r="B1581">
        <v>72017</v>
      </c>
      <c r="C1581">
        <v>80</v>
      </c>
      <c r="D1581">
        <v>16</v>
      </c>
      <c r="E1581" s="7" t="s">
        <v>200</v>
      </c>
      <c r="F1581">
        <v>128</v>
      </c>
    </row>
    <row r="1582" spans="1:6" x14ac:dyDescent="0.2">
      <c r="A1582" s="7" t="s">
        <v>161</v>
      </c>
      <c r="B1582">
        <v>72017</v>
      </c>
      <c r="C1582">
        <v>81</v>
      </c>
      <c r="D1582">
        <v>17</v>
      </c>
      <c r="E1582" s="7" t="s">
        <v>127</v>
      </c>
      <c r="F1582">
        <v>64</v>
      </c>
    </row>
    <row r="1583" spans="1:6" x14ac:dyDescent="0.2">
      <c r="A1583" s="7" t="s">
        <v>161</v>
      </c>
      <c r="B1583">
        <v>72017</v>
      </c>
      <c r="C1583" s="7">
        <v>82</v>
      </c>
      <c r="D1583">
        <v>17</v>
      </c>
      <c r="E1583" s="7" t="s">
        <v>127</v>
      </c>
      <c r="F1583">
        <v>45</v>
      </c>
    </row>
    <row r="1584" spans="1:6" x14ac:dyDescent="0.2">
      <c r="A1584" s="7" t="s">
        <v>161</v>
      </c>
      <c r="B1584">
        <v>72017</v>
      </c>
      <c r="C1584">
        <v>83</v>
      </c>
      <c r="D1584">
        <v>17</v>
      </c>
      <c r="E1584" s="7" t="s">
        <v>127</v>
      </c>
      <c r="F1584">
        <v>32</v>
      </c>
    </row>
    <row r="1585" spans="1:6" x14ac:dyDescent="0.2">
      <c r="A1585" s="7" t="s">
        <v>161</v>
      </c>
      <c r="B1585">
        <v>72017</v>
      </c>
      <c r="C1585">
        <v>84</v>
      </c>
      <c r="D1585">
        <v>17</v>
      </c>
      <c r="E1585" s="7" t="s">
        <v>127</v>
      </c>
      <c r="F1585">
        <v>64</v>
      </c>
    </row>
    <row r="1586" spans="1:6" x14ac:dyDescent="0.2">
      <c r="A1586" s="7" t="s">
        <v>161</v>
      </c>
      <c r="B1586">
        <v>72017</v>
      </c>
      <c r="C1586" s="7">
        <v>85</v>
      </c>
      <c r="D1586">
        <v>17</v>
      </c>
      <c r="E1586" s="7" t="s">
        <v>127</v>
      </c>
      <c r="F1586">
        <v>45</v>
      </c>
    </row>
    <row r="1587" spans="1:6" x14ac:dyDescent="0.2">
      <c r="A1587" s="7" t="s">
        <v>161</v>
      </c>
      <c r="B1587">
        <v>72017</v>
      </c>
      <c r="C1587">
        <v>86</v>
      </c>
      <c r="D1587">
        <v>17</v>
      </c>
      <c r="E1587" s="7" t="s">
        <v>127</v>
      </c>
      <c r="F1587">
        <v>22.6</v>
      </c>
    </row>
    <row r="1588" spans="1:6" x14ac:dyDescent="0.2">
      <c r="A1588" s="7" t="s">
        <v>161</v>
      </c>
      <c r="B1588">
        <v>72017</v>
      </c>
      <c r="C1588">
        <v>87</v>
      </c>
      <c r="D1588">
        <v>17</v>
      </c>
      <c r="E1588" s="7" t="s">
        <v>127</v>
      </c>
      <c r="F1588">
        <v>11</v>
      </c>
    </row>
    <row r="1589" spans="1:6" x14ac:dyDescent="0.2">
      <c r="A1589" s="7" t="s">
        <v>161</v>
      </c>
      <c r="B1589">
        <v>72017</v>
      </c>
      <c r="C1589" s="7">
        <v>88</v>
      </c>
      <c r="D1589">
        <v>18</v>
      </c>
      <c r="E1589" s="7" t="s">
        <v>200</v>
      </c>
      <c r="F1589">
        <v>45</v>
      </c>
    </row>
    <row r="1590" spans="1:6" x14ac:dyDescent="0.2">
      <c r="A1590" s="7" t="s">
        <v>161</v>
      </c>
      <c r="B1590">
        <v>72017</v>
      </c>
      <c r="C1590">
        <v>89</v>
      </c>
      <c r="D1590">
        <v>18</v>
      </c>
      <c r="E1590" s="7" t="s">
        <v>127</v>
      </c>
      <c r="F1590">
        <v>45</v>
      </c>
    </row>
    <row r="1591" spans="1:6" x14ac:dyDescent="0.2">
      <c r="A1591" s="7" t="s">
        <v>161</v>
      </c>
      <c r="B1591">
        <v>72017</v>
      </c>
      <c r="C1591">
        <v>90</v>
      </c>
      <c r="D1591">
        <v>18</v>
      </c>
      <c r="E1591" s="7" t="s">
        <v>127</v>
      </c>
      <c r="F1591">
        <v>128</v>
      </c>
    </row>
    <row r="1592" spans="1:6" x14ac:dyDescent="0.2">
      <c r="A1592" s="7" t="s">
        <v>161</v>
      </c>
      <c r="B1592">
        <v>72017</v>
      </c>
      <c r="C1592" s="7">
        <v>91</v>
      </c>
      <c r="D1592">
        <v>18</v>
      </c>
      <c r="E1592" s="7" t="s">
        <v>127</v>
      </c>
      <c r="F1592">
        <v>5.6</v>
      </c>
    </row>
    <row r="1593" spans="1:6" x14ac:dyDescent="0.2">
      <c r="A1593" s="7" t="s">
        <v>161</v>
      </c>
      <c r="B1593">
        <v>72017</v>
      </c>
      <c r="C1593">
        <v>92</v>
      </c>
      <c r="D1593">
        <v>18</v>
      </c>
      <c r="E1593" s="7" t="s">
        <v>127</v>
      </c>
      <c r="F1593">
        <v>11</v>
      </c>
    </row>
    <row r="1594" spans="1:6" x14ac:dyDescent="0.2">
      <c r="A1594" s="7" t="s">
        <v>161</v>
      </c>
      <c r="B1594">
        <v>72017</v>
      </c>
      <c r="C1594">
        <v>93</v>
      </c>
      <c r="D1594">
        <v>18</v>
      </c>
      <c r="E1594" s="7" t="s">
        <v>127</v>
      </c>
      <c r="F1594">
        <v>5.6</v>
      </c>
    </row>
    <row r="1595" spans="1:6" x14ac:dyDescent="0.2">
      <c r="A1595" s="7" t="s">
        <v>161</v>
      </c>
      <c r="B1595">
        <v>72017</v>
      </c>
      <c r="C1595" s="7">
        <v>94</v>
      </c>
      <c r="D1595">
        <v>18</v>
      </c>
      <c r="E1595" s="7" t="s">
        <v>130</v>
      </c>
      <c r="F1595" s="7" t="s">
        <v>115</v>
      </c>
    </row>
    <row r="1596" spans="1:6" x14ac:dyDescent="0.2">
      <c r="A1596" s="7" t="s">
        <v>161</v>
      </c>
      <c r="B1596">
        <v>72017</v>
      </c>
      <c r="C1596">
        <v>95</v>
      </c>
      <c r="D1596">
        <v>18</v>
      </c>
      <c r="E1596" s="7" t="s">
        <v>130</v>
      </c>
      <c r="F1596" s="7" t="s">
        <v>115</v>
      </c>
    </row>
    <row r="1597" spans="1:6" x14ac:dyDescent="0.2">
      <c r="A1597" s="7" t="s">
        <v>161</v>
      </c>
      <c r="B1597">
        <v>72017</v>
      </c>
      <c r="C1597">
        <v>96</v>
      </c>
      <c r="D1597">
        <v>18</v>
      </c>
      <c r="E1597" s="7" t="s">
        <v>130</v>
      </c>
      <c r="F1597" s="7">
        <v>64</v>
      </c>
    </row>
    <row r="1598" spans="1:6" x14ac:dyDescent="0.2">
      <c r="A1598" s="7" t="s">
        <v>161</v>
      </c>
      <c r="B1598">
        <v>72017</v>
      </c>
      <c r="C1598">
        <v>97</v>
      </c>
      <c r="D1598">
        <v>18</v>
      </c>
      <c r="E1598" s="7" t="s">
        <v>130</v>
      </c>
      <c r="F1598" s="7">
        <v>16</v>
      </c>
    </row>
    <row r="1599" spans="1:6" x14ac:dyDescent="0.2">
      <c r="A1599" s="7" t="s">
        <v>161</v>
      </c>
      <c r="B1599">
        <v>72017</v>
      </c>
      <c r="C1599">
        <v>98</v>
      </c>
      <c r="D1599">
        <v>18</v>
      </c>
      <c r="E1599" s="7" t="s">
        <v>130</v>
      </c>
      <c r="F1599" s="7">
        <v>128</v>
      </c>
    </row>
    <row r="1600" spans="1:6" x14ac:dyDescent="0.2">
      <c r="A1600" s="7" t="s">
        <v>161</v>
      </c>
      <c r="B1600">
        <v>72017</v>
      </c>
      <c r="C1600" s="7">
        <v>99</v>
      </c>
      <c r="D1600">
        <v>18</v>
      </c>
      <c r="E1600" s="7" t="s">
        <v>130</v>
      </c>
      <c r="F1600" s="7">
        <v>90</v>
      </c>
    </row>
    <row r="1601" spans="1:6" x14ac:dyDescent="0.2">
      <c r="A1601" s="7" t="s">
        <v>161</v>
      </c>
      <c r="B1601">
        <v>72017</v>
      </c>
      <c r="C1601">
        <v>100</v>
      </c>
      <c r="D1601">
        <v>18</v>
      </c>
      <c r="E1601" s="7" t="s">
        <v>130</v>
      </c>
      <c r="F1601" s="7">
        <v>45</v>
      </c>
    </row>
    <row r="1602" spans="1:6" x14ac:dyDescent="0.2">
      <c r="A1602" s="7" t="s">
        <v>165</v>
      </c>
      <c r="B1602">
        <v>72017</v>
      </c>
      <c r="C1602">
        <v>1</v>
      </c>
      <c r="D1602">
        <v>1</v>
      </c>
      <c r="E1602" s="7" t="s">
        <v>200</v>
      </c>
      <c r="F1602" s="7">
        <v>32</v>
      </c>
    </row>
    <row r="1603" spans="1:6" x14ac:dyDescent="0.2">
      <c r="A1603" s="7" t="s">
        <v>165</v>
      </c>
      <c r="B1603">
        <v>72017</v>
      </c>
      <c r="C1603">
        <v>2</v>
      </c>
      <c r="D1603">
        <v>1</v>
      </c>
      <c r="E1603" s="7" t="s">
        <v>200</v>
      </c>
      <c r="F1603" s="7">
        <v>22.6</v>
      </c>
    </row>
    <row r="1604" spans="1:6" x14ac:dyDescent="0.2">
      <c r="A1604" s="7" t="s">
        <v>165</v>
      </c>
      <c r="B1604">
        <v>72017</v>
      </c>
      <c r="C1604">
        <v>3</v>
      </c>
      <c r="D1604">
        <v>1</v>
      </c>
      <c r="E1604" s="7" t="s">
        <v>200</v>
      </c>
      <c r="F1604" s="7">
        <v>45</v>
      </c>
    </row>
    <row r="1605" spans="1:6" x14ac:dyDescent="0.2">
      <c r="A1605" s="7" t="s">
        <v>165</v>
      </c>
      <c r="B1605">
        <v>72017</v>
      </c>
      <c r="C1605">
        <v>4</v>
      </c>
      <c r="D1605">
        <v>1</v>
      </c>
      <c r="E1605" s="7" t="s">
        <v>200</v>
      </c>
      <c r="F1605" s="7">
        <v>32</v>
      </c>
    </row>
    <row r="1606" spans="1:6" x14ac:dyDescent="0.2">
      <c r="A1606" s="7" t="s">
        <v>165</v>
      </c>
      <c r="B1606">
        <v>72017</v>
      </c>
      <c r="C1606">
        <v>5</v>
      </c>
      <c r="D1606">
        <v>1</v>
      </c>
      <c r="E1606" s="7" t="s">
        <v>200</v>
      </c>
      <c r="F1606" s="7">
        <v>32</v>
      </c>
    </row>
    <row r="1607" spans="1:6" x14ac:dyDescent="0.2">
      <c r="A1607" s="7" t="s">
        <v>165</v>
      </c>
      <c r="B1607">
        <v>72017</v>
      </c>
      <c r="C1607">
        <v>6</v>
      </c>
      <c r="D1607">
        <v>1</v>
      </c>
      <c r="E1607" s="7" t="s">
        <v>200</v>
      </c>
      <c r="F1607" s="7">
        <v>180</v>
      </c>
    </row>
    <row r="1608" spans="1:6" x14ac:dyDescent="0.2">
      <c r="A1608" s="7" t="s">
        <v>165</v>
      </c>
      <c r="B1608">
        <v>72017</v>
      </c>
      <c r="C1608">
        <v>7</v>
      </c>
      <c r="D1608">
        <v>1</v>
      </c>
      <c r="E1608" s="7" t="s">
        <v>200</v>
      </c>
      <c r="F1608" s="7">
        <v>64</v>
      </c>
    </row>
    <row r="1609" spans="1:6" x14ac:dyDescent="0.2">
      <c r="A1609" s="7" t="s">
        <v>165</v>
      </c>
      <c r="B1609">
        <v>72017</v>
      </c>
      <c r="C1609">
        <v>8</v>
      </c>
      <c r="D1609">
        <v>1</v>
      </c>
      <c r="E1609" s="7" t="s">
        <v>200</v>
      </c>
      <c r="F1609" s="7">
        <v>128</v>
      </c>
    </row>
    <row r="1610" spans="1:6" x14ac:dyDescent="0.2">
      <c r="A1610" s="7" t="s">
        <v>165</v>
      </c>
      <c r="B1610">
        <v>72017</v>
      </c>
      <c r="C1610">
        <v>9</v>
      </c>
      <c r="D1610">
        <v>1</v>
      </c>
      <c r="E1610" s="7" t="s">
        <v>200</v>
      </c>
      <c r="F1610" s="7">
        <v>180</v>
      </c>
    </row>
    <row r="1611" spans="1:6" x14ac:dyDescent="0.2">
      <c r="A1611" s="7" t="s">
        <v>165</v>
      </c>
      <c r="B1611">
        <v>72017</v>
      </c>
      <c r="C1611">
        <v>10</v>
      </c>
      <c r="D1611">
        <v>1</v>
      </c>
      <c r="E1611" s="7" t="s">
        <v>127</v>
      </c>
      <c r="F1611" s="7">
        <v>32</v>
      </c>
    </row>
    <row r="1612" spans="1:6" x14ac:dyDescent="0.2">
      <c r="A1612" s="7" t="s">
        <v>165</v>
      </c>
      <c r="B1612">
        <v>72017</v>
      </c>
      <c r="C1612">
        <v>11</v>
      </c>
      <c r="D1612">
        <v>1</v>
      </c>
      <c r="E1612" s="7" t="s">
        <v>127</v>
      </c>
      <c r="F1612" s="7">
        <v>32</v>
      </c>
    </row>
    <row r="1613" spans="1:6" x14ac:dyDescent="0.2">
      <c r="A1613" s="7" t="s">
        <v>165</v>
      </c>
      <c r="B1613">
        <v>72017</v>
      </c>
      <c r="C1613">
        <v>12</v>
      </c>
      <c r="D1613">
        <v>1</v>
      </c>
      <c r="E1613" s="7" t="s">
        <v>127</v>
      </c>
      <c r="F1613" s="7">
        <v>45</v>
      </c>
    </row>
    <row r="1614" spans="1:6" x14ac:dyDescent="0.2">
      <c r="A1614" s="7" t="s">
        <v>165</v>
      </c>
      <c r="B1614">
        <v>72017</v>
      </c>
      <c r="C1614">
        <v>13</v>
      </c>
      <c r="D1614">
        <v>1</v>
      </c>
      <c r="E1614" s="7" t="s">
        <v>127</v>
      </c>
      <c r="F1614" s="7">
        <v>128</v>
      </c>
    </row>
    <row r="1615" spans="1:6" x14ac:dyDescent="0.2">
      <c r="A1615" s="7" t="s">
        <v>165</v>
      </c>
      <c r="B1615">
        <v>72017</v>
      </c>
      <c r="C1615">
        <v>14</v>
      </c>
      <c r="D1615">
        <v>1</v>
      </c>
      <c r="E1615" s="7" t="s">
        <v>127</v>
      </c>
      <c r="F1615" s="7">
        <v>64</v>
      </c>
    </row>
    <row r="1616" spans="1:6" x14ac:dyDescent="0.2">
      <c r="A1616" s="7" t="s">
        <v>165</v>
      </c>
      <c r="B1616">
        <v>72017</v>
      </c>
      <c r="C1616">
        <v>15</v>
      </c>
      <c r="D1616">
        <v>1</v>
      </c>
      <c r="E1616" s="7" t="s">
        <v>127</v>
      </c>
      <c r="F1616" s="7">
        <v>180</v>
      </c>
    </row>
    <row r="1617" spans="1:6" x14ac:dyDescent="0.2">
      <c r="A1617" s="7" t="s">
        <v>165</v>
      </c>
      <c r="B1617">
        <v>72017</v>
      </c>
      <c r="C1617">
        <v>16</v>
      </c>
      <c r="D1617">
        <v>1</v>
      </c>
      <c r="E1617" s="7" t="s">
        <v>127</v>
      </c>
      <c r="F1617" s="7">
        <v>45</v>
      </c>
    </row>
    <row r="1618" spans="1:6" x14ac:dyDescent="0.2">
      <c r="A1618" s="7" t="s">
        <v>165</v>
      </c>
      <c r="B1618">
        <v>72017</v>
      </c>
      <c r="C1618">
        <v>17</v>
      </c>
      <c r="D1618">
        <v>1</v>
      </c>
      <c r="E1618" s="7" t="s">
        <v>127</v>
      </c>
      <c r="F1618" s="7">
        <v>45</v>
      </c>
    </row>
    <row r="1619" spans="1:6" x14ac:dyDescent="0.2">
      <c r="A1619" s="7" t="s">
        <v>165</v>
      </c>
      <c r="B1619">
        <v>72017</v>
      </c>
      <c r="C1619">
        <v>18</v>
      </c>
      <c r="D1619">
        <v>1</v>
      </c>
      <c r="E1619" s="7" t="s">
        <v>200</v>
      </c>
      <c r="F1619" s="7">
        <v>180</v>
      </c>
    </row>
    <row r="1620" spans="1:6" x14ac:dyDescent="0.2">
      <c r="A1620" s="7" t="s">
        <v>165</v>
      </c>
      <c r="B1620">
        <v>72017</v>
      </c>
      <c r="C1620">
        <v>19</v>
      </c>
      <c r="D1620">
        <v>1</v>
      </c>
      <c r="E1620" s="7" t="s">
        <v>200</v>
      </c>
      <c r="F1620" s="7">
        <v>32</v>
      </c>
    </row>
    <row r="1621" spans="1:6" x14ac:dyDescent="0.2">
      <c r="A1621" s="7" t="s">
        <v>165</v>
      </c>
      <c r="B1621">
        <v>72017</v>
      </c>
      <c r="C1621">
        <v>20</v>
      </c>
      <c r="D1621">
        <v>1</v>
      </c>
      <c r="E1621" s="7" t="s">
        <v>200</v>
      </c>
      <c r="F1621" s="7">
        <v>11</v>
      </c>
    </row>
    <row r="1622" spans="1:6" x14ac:dyDescent="0.2">
      <c r="A1622" s="7" t="s">
        <v>165</v>
      </c>
      <c r="B1622">
        <v>72017</v>
      </c>
      <c r="C1622">
        <v>21</v>
      </c>
      <c r="D1622">
        <v>1</v>
      </c>
      <c r="E1622" s="7" t="s">
        <v>200</v>
      </c>
      <c r="F1622" s="7">
        <v>64</v>
      </c>
    </row>
    <row r="1623" spans="1:6" x14ac:dyDescent="0.2">
      <c r="A1623" s="7" t="s">
        <v>165</v>
      </c>
      <c r="B1623">
        <v>72017</v>
      </c>
      <c r="C1623">
        <v>22</v>
      </c>
      <c r="D1623">
        <v>1</v>
      </c>
      <c r="E1623" s="7" t="s">
        <v>200</v>
      </c>
      <c r="F1623" s="7">
        <v>64</v>
      </c>
    </row>
    <row r="1624" spans="1:6" x14ac:dyDescent="0.2">
      <c r="A1624" s="7" t="s">
        <v>165</v>
      </c>
      <c r="B1624">
        <v>72017</v>
      </c>
      <c r="C1624">
        <v>23</v>
      </c>
      <c r="D1624">
        <v>1</v>
      </c>
      <c r="E1624" s="7" t="s">
        <v>200</v>
      </c>
      <c r="F1624" s="7">
        <v>180</v>
      </c>
    </row>
    <row r="1625" spans="1:6" x14ac:dyDescent="0.2">
      <c r="A1625" s="7" t="s">
        <v>165</v>
      </c>
      <c r="B1625">
        <v>72017</v>
      </c>
      <c r="C1625">
        <v>24</v>
      </c>
      <c r="D1625">
        <v>1</v>
      </c>
      <c r="E1625" s="7" t="s">
        <v>200</v>
      </c>
      <c r="F1625" s="7">
        <v>22.6</v>
      </c>
    </row>
    <row r="1626" spans="1:6" x14ac:dyDescent="0.2">
      <c r="A1626" s="7" t="s">
        <v>165</v>
      </c>
      <c r="B1626">
        <v>72017</v>
      </c>
      <c r="C1626">
        <v>25</v>
      </c>
      <c r="D1626">
        <v>1</v>
      </c>
      <c r="E1626" s="7" t="s">
        <v>200</v>
      </c>
      <c r="F1626" s="7">
        <v>45</v>
      </c>
    </row>
    <row r="1627" spans="1:6" x14ac:dyDescent="0.2">
      <c r="A1627" s="7" t="s">
        <v>165</v>
      </c>
      <c r="B1627">
        <v>72017</v>
      </c>
      <c r="C1627">
        <v>26</v>
      </c>
      <c r="D1627">
        <v>1</v>
      </c>
      <c r="E1627" s="7" t="s">
        <v>200</v>
      </c>
      <c r="F1627" s="7">
        <v>128</v>
      </c>
    </row>
    <row r="1628" spans="1:6" x14ac:dyDescent="0.2">
      <c r="A1628" s="7" t="s">
        <v>165</v>
      </c>
      <c r="B1628">
        <v>72017</v>
      </c>
      <c r="C1628">
        <v>27</v>
      </c>
      <c r="D1628">
        <v>1</v>
      </c>
      <c r="E1628" s="7" t="s">
        <v>200</v>
      </c>
      <c r="F1628" s="7">
        <v>64</v>
      </c>
    </row>
    <row r="1629" spans="1:6" x14ac:dyDescent="0.2">
      <c r="A1629" s="7" t="s">
        <v>165</v>
      </c>
      <c r="B1629">
        <v>72017</v>
      </c>
      <c r="C1629">
        <v>28</v>
      </c>
      <c r="D1629">
        <v>2</v>
      </c>
      <c r="E1629" s="7" t="s">
        <v>200</v>
      </c>
      <c r="F1629" s="7">
        <v>64</v>
      </c>
    </row>
    <row r="1630" spans="1:6" x14ac:dyDescent="0.2">
      <c r="A1630" s="7" t="s">
        <v>165</v>
      </c>
      <c r="B1630">
        <v>72017</v>
      </c>
      <c r="C1630">
        <v>29</v>
      </c>
      <c r="D1630">
        <v>2</v>
      </c>
      <c r="E1630" s="7" t="s">
        <v>200</v>
      </c>
      <c r="F1630" s="7">
        <v>45</v>
      </c>
    </row>
    <row r="1631" spans="1:6" x14ac:dyDescent="0.2">
      <c r="A1631" s="7" t="s">
        <v>165</v>
      </c>
      <c r="B1631">
        <v>72017</v>
      </c>
      <c r="C1631">
        <v>30</v>
      </c>
      <c r="D1631">
        <v>2</v>
      </c>
      <c r="E1631" s="7" t="s">
        <v>200</v>
      </c>
      <c r="F1631" s="7">
        <v>90</v>
      </c>
    </row>
    <row r="1632" spans="1:6" x14ac:dyDescent="0.2">
      <c r="A1632" s="7" t="s">
        <v>165</v>
      </c>
      <c r="B1632">
        <v>72017</v>
      </c>
      <c r="C1632">
        <v>31</v>
      </c>
      <c r="D1632">
        <v>2</v>
      </c>
      <c r="E1632" s="7" t="s">
        <v>200</v>
      </c>
      <c r="F1632" s="7">
        <v>22.6</v>
      </c>
    </row>
    <row r="1633" spans="1:6" x14ac:dyDescent="0.2">
      <c r="A1633" s="7" t="s">
        <v>165</v>
      </c>
      <c r="B1633">
        <v>72017</v>
      </c>
      <c r="C1633">
        <v>32</v>
      </c>
      <c r="D1633">
        <v>2</v>
      </c>
      <c r="E1633" s="7" t="s">
        <v>200</v>
      </c>
      <c r="F1633" s="7">
        <v>180</v>
      </c>
    </row>
    <row r="1634" spans="1:6" x14ac:dyDescent="0.2">
      <c r="A1634" s="7" t="s">
        <v>165</v>
      </c>
      <c r="B1634">
        <v>72017</v>
      </c>
      <c r="C1634">
        <v>33</v>
      </c>
      <c r="D1634">
        <v>2</v>
      </c>
      <c r="E1634" s="7" t="s">
        <v>200</v>
      </c>
      <c r="F1634" s="7">
        <v>180</v>
      </c>
    </row>
    <row r="1635" spans="1:6" x14ac:dyDescent="0.2">
      <c r="A1635" s="7" t="s">
        <v>165</v>
      </c>
      <c r="B1635">
        <v>72017</v>
      </c>
      <c r="C1635">
        <v>34</v>
      </c>
      <c r="D1635">
        <v>2</v>
      </c>
      <c r="E1635" s="7" t="s">
        <v>200</v>
      </c>
      <c r="F1635" s="7">
        <v>32</v>
      </c>
    </row>
    <row r="1636" spans="1:6" x14ac:dyDescent="0.2">
      <c r="A1636" s="7" t="s">
        <v>165</v>
      </c>
      <c r="B1636">
        <v>72017</v>
      </c>
      <c r="C1636">
        <v>35</v>
      </c>
      <c r="D1636">
        <v>2</v>
      </c>
      <c r="E1636" s="7" t="s">
        <v>200</v>
      </c>
      <c r="F1636" s="7">
        <v>45</v>
      </c>
    </row>
    <row r="1637" spans="1:6" x14ac:dyDescent="0.2">
      <c r="A1637" s="7" t="s">
        <v>165</v>
      </c>
      <c r="B1637">
        <v>72017</v>
      </c>
      <c r="C1637">
        <v>36</v>
      </c>
      <c r="D1637">
        <v>2</v>
      </c>
      <c r="E1637" s="7" t="s">
        <v>200</v>
      </c>
      <c r="F1637" s="7">
        <v>32</v>
      </c>
    </row>
    <row r="1638" spans="1:6" x14ac:dyDescent="0.2">
      <c r="A1638" s="7" t="s">
        <v>165</v>
      </c>
      <c r="B1638">
        <v>72017</v>
      </c>
      <c r="C1638">
        <v>37</v>
      </c>
      <c r="D1638">
        <v>2</v>
      </c>
      <c r="E1638" s="7" t="s">
        <v>127</v>
      </c>
      <c r="F1638" s="7">
        <v>45</v>
      </c>
    </row>
    <row r="1639" spans="1:6" x14ac:dyDescent="0.2">
      <c r="A1639" s="7" t="s">
        <v>165</v>
      </c>
      <c r="B1639">
        <v>72017</v>
      </c>
      <c r="C1639">
        <v>38</v>
      </c>
      <c r="D1639">
        <v>2</v>
      </c>
      <c r="E1639" s="7" t="s">
        <v>127</v>
      </c>
      <c r="F1639" s="7">
        <v>180</v>
      </c>
    </row>
    <row r="1640" spans="1:6" x14ac:dyDescent="0.2">
      <c r="A1640" s="7" t="s">
        <v>165</v>
      </c>
      <c r="B1640">
        <v>72017</v>
      </c>
      <c r="C1640">
        <v>39</v>
      </c>
      <c r="D1640">
        <v>2</v>
      </c>
      <c r="E1640" s="7" t="s">
        <v>127</v>
      </c>
      <c r="F1640" s="7">
        <v>90</v>
      </c>
    </row>
    <row r="1641" spans="1:6" x14ac:dyDescent="0.2">
      <c r="A1641" s="7" t="s">
        <v>165</v>
      </c>
      <c r="B1641">
        <v>72017</v>
      </c>
      <c r="C1641">
        <v>40</v>
      </c>
      <c r="D1641">
        <v>2</v>
      </c>
      <c r="E1641" s="7" t="s">
        <v>127</v>
      </c>
      <c r="F1641" s="7">
        <v>32</v>
      </c>
    </row>
    <row r="1642" spans="1:6" x14ac:dyDescent="0.2">
      <c r="A1642" s="7" t="s">
        <v>165</v>
      </c>
      <c r="B1642">
        <v>72017</v>
      </c>
      <c r="C1642">
        <v>41</v>
      </c>
      <c r="D1642">
        <v>2</v>
      </c>
      <c r="E1642" s="7" t="s">
        <v>127</v>
      </c>
      <c r="F1642" s="7">
        <v>64</v>
      </c>
    </row>
    <row r="1643" spans="1:6" x14ac:dyDescent="0.2">
      <c r="A1643" s="7" t="s">
        <v>165</v>
      </c>
      <c r="B1643">
        <v>72017</v>
      </c>
      <c r="C1643">
        <v>42</v>
      </c>
      <c r="D1643">
        <v>2</v>
      </c>
      <c r="E1643" s="7" t="s">
        <v>127</v>
      </c>
      <c r="F1643" s="7">
        <v>180</v>
      </c>
    </row>
    <row r="1644" spans="1:6" x14ac:dyDescent="0.2">
      <c r="A1644" s="7" t="s">
        <v>165</v>
      </c>
      <c r="B1644">
        <v>72017</v>
      </c>
      <c r="C1644">
        <v>43</v>
      </c>
      <c r="D1644">
        <v>2</v>
      </c>
      <c r="E1644" s="7" t="s">
        <v>127</v>
      </c>
      <c r="F1644" s="7">
        <v>45</v>
      </c>
    </row>
    <row r="1645" spans="1:6" x14ac:dyDescent="0.2">
      <c r="A1645" s="7" t="s">
        <v>165</v>
      </c>
      <c r="B1645">
        <v>72017</v>
      </c>
      <c r="C1645">
        <v>44</v>
      </c>
      <c r="D1645">
        <v>2</v>
      </c>
      <c r="E1645" s="7" t="s">
        <v>200</v>
      </c>
      <c r="F1645" s="7">
        <v>128</v>
      </c>
    </row>
    <row r="1646" spans="1:6" x14ac:dyDescent="0.2">
      <c r="A1646" s="7" t="s">
        <v>165</v>
      </c>
      <c r="B1646">
        <v>72017</v>
      </c>
      <c r="C1646">
        <v>45</v>
      </c>
      <c r="D1646">
        <v>2</v>
      </c>
      <c r="E1646" s="7" t="s">
        <v>200</v>
      </c>
      <c r="F1646" s="7">
        <v>16</v>
      </c>
    </row>
    <row r="1647" spans="1:6" x14ac:dyDescent="0.2">
      <c r="A1647" s="7" t="s">
        <v>165</v>
      </c>
      <c r="B1647">
        <v>72017</v>
      </c>
      <c r="C1647">
        <v>46</v>
      </c>
      <c r="D1647">
        <v>2</v>
      </c>
      <c r="E1647" s="7" t="s">
        <v>200</v>
      </c>
      <c r="F1647" s="7">
        <v>128</v>
      </c>
    </row>
    <row r="1648" spans="1:6" x14ac:dyDescent="0.2">
      <c r="A1648" s="7" t="s">
        <v>165</v>
      </c>
      <c r="B1648">
        <v>72017</v>
      </c>
      <c r="C1648">
        <v>47</v>
      </c>
      <c r="D1648">
        <v>2</v>
      </c>
      <c r="E1648" s="7" t="s">
        <v>200</v>
      </c>
      <c r="F1648" s="7">
        <v>180</v>
      </c>
    </row>
    <row r="1649" spans="1:6" x14ac:dyDescent="0.2">
      <c r="A1649" s="7" t="s">
        <v>165</v>
      </c>
      <c r="B1649">
        <v>72017</v>
      </c>
      <c r="C1649">
        <v>48</v>
      </c>
      <c r="D1649">
        <v>2</v>
      </c>
      <c r="E1649" s="7" t="s">
        <v>200</v>
      </c>
      <c r="F1649" s="7">
        <v>45</v>
      </c>
    </row>
    <row r="1650" spans="1:6" x14ac:dyDescent="0.2">
      <c r="A1650" s="7" t="s">
        <v>165</v>
      </c>
      <c r="B1650">
        <v>72017</v>
      </c>
      <c r="C1650">
        <v>49</v>
      </c>
      <c r="D1650">
        <v>2</v>
      </c>
      <c r="E1650" s="7" t="s">
        <v>200</v>
      </c>
      <c r="F1650" s="7">
        <v>4</v>
      </c>
    </row>
    <row r="1651" spans="1:6" x14ac:dyDescent="0.2">
      <c r="A1651" s="7" t="s">
        <v>165</v>
      </c>
      <c r="B1651">
        <v>72017</v>
      </c>
      <c r="C1651">
        <v>50</v>
      </c>
      <c r="D1651">
        <v>2</v>
      </c>
      <c r="E1651" s="7" t="s">
        <v>200</v>
      </c>
      <c r="F1651" s="7">
        <v>45</v>
      </c>
    </row>
    <row r="1652" spans="1:6" x14ac:dyDescent="0.2">
      <c r="A1652" s="7" t="s">
        <v>165</v>
      </c>
      <c r="B1652">
        <v>72017</v>
      </c>
      <c r="C1652">
        <v>51</v>
      </c>
      <c r="D1652">
        <v>2</v>
      </c>
      <c r="E1652" s="7" t="s">
        <v>200</v>
      </c>
      <c r="F1652" s="7">
        <v>8</v>
      </c>
    </row>
    <row r="1653" spans="1:6" x14ac:dyDescent="0.2">
      <c r="A1653" s="7" t="s">
        <v>165</v>
      </c>
      <c r="B1653">
        <v>72017</v>
      </c>
      <c r="C1653">
        <v>52</v>
      </c>
      <c r="D1653">
        <v>2</v>
      </c>
      <c r="E1653" s="7" t="s">
        <v>200</v>
      </c>
      <c r="F1653" s="7">
        <v>8</v>
      </c>
    </row>
    <row r="1654" spans="1:6" x14ac:dyDescent="0.2">
      <c r="A1654" s="7" t="s">
        <v>165</v>
      </c>
      <c r="B1654">
        <v>72017</v>
      </c>
      <c r="C1654">
        <v>53</v>
      </c>
      <c r="D1654">
        <v>2</v>
      </c>
      <c r="E1654" s="7" t="s">
        <v>200</v>
      </c>
      <c r="F1654" s="7">
        <v>90</v>
      </c>
    </row>
    <row r="1655" spans="1:6" x14ac:dyDescent="0.2">
      <c r="A1655" s="7" t="s">
        <v>165</v>
      </c>
      <c r="B1655">
        <v>72017</v>
      </c>
      <c r="C1655">
        <v>54</v>
      </c>
      <c r="D1655">
        <v>2</v>
      </c>
      <c r="E1655" s="7" t="s">
        <v>200</v>
      </c>
      <c r="F1655" s="7">
        <v>180</v>
      </c>
    </row>
    <row r="1656" spans="1:6" x14ac:dyDescent="0.2">
      <c r="A1656" s="7" t="s">
        <v>165</v>
      </c>
      <c r="B1656">
        <v>72017</v>
      </c>
      <c r="C1656">
        <v>55</v>
      </c>
      <c r="D1656">
        <v>2</v>
      </c>
      <c r="E1656" s="7" t="s">
        <v>200</v>
      </c>
      <c r="F1656" s="7">
        <v>45</v>
      </c>
    </row>
    <row r="1657" spans="1:6" x14ac:dyDescent="0.2">
      <c r="A1657" s="7" t="s">
        <v>165</v>
      </c>
      <c r="B1657">
        <v>72017</v>
      </c>
      <c r="C1657">
        <v>56</v>
      </c>
      <c r="D1657">
        <v>3</v>
      </c>
      <c r="E1657" s="7" t="s">
        <v>200</v>
      </c>
      <c r="F1657" s="7">
        <v>16</v>
      </c>
    </row>
    <row r="1658" spans="1:6" x14ac:dyDescent="0.2">
      <c r="A1658" s="7" t="s">
        <v>165</v>
      </c>
      <c r="B1658">
        <v>72017</v>
      </c>
      <c r="C1658">
        <v>57</v>
      </c>
      <c r="D1658">
        <v>3</v>
      </c>
      <c r="E1658" s="7" t="s">
        <v>200</v>
      </c>
      <c r="F1658" s="7">
        <v>45</v>
      </c>
    </row>
    <row r="1659" spans="1:6" x14ac:dyDescent="0.2">
      <c r="A1659" s="7" t="s">
        <v>165</v>
      </c>
      <c r="B1659">
        <v>72017</v>
      </c>
      <c r="C1659">
        <v>58</v>
      </c>
      <c r="D1659">
        <v>3</v>
      </c>
      <c r="E1659" s="7" t="s">
        <v>200</v>
      </c>
      <c r="F1659" s="7">
        <v>90</v>
      </c>
    </row>
    <row r="1660" spans="1:6" x14ac:dyDescent="0.2">
      <c r="A1660" s="7" t="s">
        <v>165</v>
      </c>
      <c r="B1660">
        <v>72017</v>
      </c>
      <c r="C1660">
        <v>59</v>
      </c>
      <c r="D1660">
        <v>3</v>
      </c>
      <c r="E1660" s="7" t="s">
        <v>200</v>
      </c>
      <c r="F1660" s="7">
        <v>45</v>
      </c>
    </row>
    <row r="1661" spans="1:6" x14ac:dyDescent="0.2">
      <c r="A1661" s="7" t="s">
        <v>165</v>
      </c>
      <c r="B1661">
        <v>72017</v>
      </c>
      <c r="C1661">
        <v>60</v>
      </c>
      <c r="D1661">
        <v>3</v>
      </c>
      <c r="E1661" s="7" t="s">
        <v>200</v>
      </c>
      <c r="F1661" s="7">
        <v>64</v>
      </c>
    </row>
    <row r="1662" spans="1:6" x14ac:dyDescent="0.2">
      <c r="A1662" s="7" t="s">
        <v>165</v>
      </c>
      <c r="B1662">
        <v>72017</v>
      </c>
      <c r="C1662">
        <v>61</v>
      </c>
      <c r="D1662">
        <v>3</v>
      </c>
      <c r="E1662" s="7" t="s">
        <v>200</v>
      </c>
      <c r="F1662" s="7">
        <v>32</v>
      </c>
    </row>
    <row r="1663" spans="1:6" x14ac:dyDescent="0.2">
      <c r="A1663" s="7" t="s">
        <v>165</v>
      </c>
      <c r="B1663">
        <v>72017</v>
      </c>
      <c r="C1663">
        <v>62</v>
      </c>
      <c r="D1663">
        <v>3</v>
      </c>
      <c r="E1663" s="7" t="s">
        <v>200</v>
      </c>
      <c r="F1663" s="7">
        <v>180</v>
      </c>
    </row>
    <row r="1664" spans="1:6" x14ac:dyDescent="0.2">
      <c r="A1664" s="7" t="s">
        <v>165</v>
      </c>
      <c r="B1664">
        <v>72017</v>
      </c>
      <c r="C1664">
        <v>63</v>
      </c>
      <c r="D1664">
        <v>3</v>
      </c>
      <c r="E1664" s="7" t="s">
        <v>200</v>
      </c>
      <c r="F1664" s="7">
        <v>128</v>
      </c>
    </row>
    <row r="1665" spans="1:6" x14ac:dyDescent="0.2">
      <c r="A1665" s="7" t="s">
        <v>165</v>
      </c>
      <c r="B1665">
        <v>72017</v>
      </c>
      <c r="C1665">
        <v>64</v>
      </c>
      <c r="D1665">
        <v>3</v>
      </c>
      <c r="E1665" s="7" t="s">
        <v>200</v>
      </c>
      <c r="F1665" s="7">
        <v>64</v>
      </c>
    </row>
    <row r="1666" spans="1:6" x14ac:dyDescent="0.2">
      <c r="A1666" s="7" t="s">
        <v>165</v>
      </c>
      <c r="B1666">
        <v>72017</v>
      </c>
      <c r="C1666">
        <v>65</v>
      </c>
      <c r="D1666">
        <v>3</v>
      </c>
      <c r="E1666" s="7" t="s">
        <v>200</v>
      </c>
      <c r="F1666" s="7">
        <v>45</v>
      </c>
    </row>
    <row r="1667" spans="1:6" x14ac:dyDescent="0.2">
      <c r="A1667" s="7" t="s">
        <v>165</v>
      </c>
      <c r="B1667">
        <v>72017</v>
      </c>
      <c r="C1667">
        <v>66</v>
      </c>
      <c r="D1667">
        <v>3</v>
      </c>
      <c r="E1667" s="7" t="s">
        <v>200</v>
      </c>
      <c r="F1667" s="7">
        <v>45</v>
      </c>
    </row>
    <row r="1668" spans="1:6" x14ac:dyDescent="0.2">
      <c r="A1668" s="7" t="s">
        <v>165</v>
      </c>
      <c r="B1668">
        <v>72017</v>
      </c>
      <c r="C1668">
        <v>67</v>
      </c>
      <c r="D1668">
        <v>3</v>
      </c>
      <c r="E1668" s="7" t="s">
        <v>127</v>
      </c>
      <c r="F1668" s="7">
        <v>128</v>
      </c>
    </row>
    <row r="1669" spans="1:6" x14ac:dyDescent="0.2">
      <c r="A1669" s="7" t="s">
        <v>165</v>
      </c>
      <c r="B1669">
        <v>72017</v>
      </c>
      <c r="C1669">
        <v>68</v>
      </c>
      <c r="D1669">
        <v>3</v>
      </c>
      <c r="E1669" s="7" t="s">
        <v>127</v>
      </c>
      <c r="F1669" s="7">
        <v>45</v>
      </c>
    </row>
    <row r="1670" spans="1:6" x14ac:dyDescent="0.2">
      <c r="A1670" s="7" t="s">
        <v>165</v>
      </c>
      <c r="B1670">
        <v>72017</v>
      </c>
      <c r="C1670">
        <v>69</v>
      </c>
      <c r="D1670">
        <v>3</v>
      </c>
      <c r="E1670" s="7" t="s">
        <v>127</v>
      </c>
      <c r="F1670" s="7">
        <v>90</v>
      </c>
    </row>
    <row r="1671" spans="1:6" x14ac:dyDescent="0.2">
      <c r="A1671" s="7" t="s">
        <v>165</v>
      </c>
      <c r="B1671">
        <v>72017</v>
      </c>
      <c r="C1671">
        <v>70</v>
      </c>
      <c r="D1671">
        <v>3</v>
      </c>
      <c r="E1671" s="7" t="s">
        <v>127</v>
      </c>
      <c r="F1671" s="7">
        <v>90</v>
      </c>
    </row>
    <row r="1672" spans="1:6" x14ac:dyDescent="0.2">
      <c r="A1672" s="7" t="s">
        <v>165</v>
      </c>
      <c r="B1672">
        <v>72017</v>
      </c>
      <c r="C1672">
        <v>71</v>
      </c>
      <c r="D1672">
        <v>3</v>
      </c>
      <c r="E1672" s="7" t="s">
        <v>127</v>
      </c>
      <c r="F1672" s="7">
        <v>32</v>
      </c>
    </row>
    <row r="1673" spans="1:6" x14ac:dyDescent="0.2">
      <c r="A1673" s="7" t="s">
        <v>165</v>
      </c>
      <c r="B1673">
        <v>72017</v>
      </c>
      <c r="C1673">
        <v>72</v>
      </c>
      <c r="D1673">
        <v>3</v>
      </c>
      <c r="E1673" s="7" t="s">
        <v>127</v>
      </c>
      <c r="F1673" s="7">
        <v>45</v>
      </c>
    </row>
    <row r="1674" spans="1:6" x14ac:dyDescent="0.2">
      <c r="A1674" s="7" t="s">
        <v>165</v>
      </c>
      <c r="B1674">
        <v>72017</v>
      </c>
      <c r="C1674">
        <v>73</v>
      </c>
      <c r="D1674">
        <v>3</v>
      </c>
      <c r="E1674" s="7" t="s">
        <v>127</v>
      </c>
      <c r="F1674" s="7">
        <v>64</v>
      </c>
    </row>
    <row r="1675" spans="1:6" x14ac:dyDescent="0.2">
      <c r="A1675" s="7" t="s">
        <v>165</v>
      </c>
      <c r="B1675">
        <v>72017</v>
      </c>
      <c r="C1675">
        <v>74</v>
      </c>
      <c r="D1675">
        <v>3</v>
      </c>
      <c r="E1675" s="7" t="s">
        <v>127</v>
      </c>
      <c r="F1675" s="7">
        <v>64</v>
      </c>
    </row>
    <row r="1676" spans="1:6" x14ac:dyDescent="0.2">
      <c r="A1676" s="7" t="s">
        <v>165</v>
      </c>
      <c r="B1676">
        <v>72017</v>
      </c>
      <c r="C1676">
        <v>75</v>
      </c>
      <c r="D1676">
        <v>3</v>
      </c>
      <c r="E1676" s="7" t="s">
        <v>127</v>
      </c>
      <c r="F1676" s="7">
        <v>180</v>
      </c>
    </row>
    <row r="1677" spans="1:6" x14ac:dyDescent="0.2">
      <c r="A1677" s="7" t="s">
        <v>165</v>
      </c>
      <c r="B1677">
        <v>72017</v>
      </c>
      <c r="C1677">
        <v>76</v>
      </c>
      <c r="D1677">
        <v>3</v>
      </c>
      <c r="E1677" s="7" t="s">
        <v>127</v>
      </c>
      <c r="F1677" s="7">
        <v>128</v>
      </c>
    </row>
    <row r="1678" spans="1:6" x14ac:dyDescent="0.2">
      <c r="A1678" s="7" t="s">
        <v>165</v>
      </c>
      <c r="B1678">
        <v>72017</v>
      </c>
      <c r="C1678">
        <v>77</v>
      </c>
      <c r="D1678">
        <v>3</v>
      </c>
      <c r="E1678" s="7" t="s">
        <v>200</v>
      </c>
      <c r="F1678" s="7">
        <v>22.6</v>
      </c>
    </row>
    <row r="1679" spans="1:6" x14ac:dyDescent="0.2">
      <c r="A1679" s="7" t="s">
        <v>165</v>
      </c>
      <c r="B1679">
        <v>72017</v>
      </c>
      <c r="C1679">
        <v>78</v>
      </c>
      <c r="D1679">
        <v>3</v>
      </c>
      <c r="E1679" s="7" t="s">
        <v>200</v>
      </c>
      <c r="F1679" s="7">
        <v>32</v>
      </c>
    </row>
    <row r="1680" spans="1:6" x14ac:dyDescent="0.2">
      <c r="A1680" s="7" t="s">
        <v>165</v>
      </c>
      <c r="B1680">
        <v>72017</v>
      </c>
      <c r="C1680">
        <v>79</v>
      </c>
      <c r="D1680">
        <v>3</v>
      </c>
      <c r="E1680" s="7" t="s">
        <v>200</v>
      </c>
      <c r="F1680" s="7">
        <v>8</v>
      </c>
    </row>
    <row r="1681" spans="1:6" x14ac:dyDescent="0.2">
      <c r="A1681" s="7" t="s">
        <v>165</v>
      </c>
      <c r="B1681">
        <v>72017</v>
      </c>
      <c r="C1681">
        <v>80</v>
      </c>
      <c r="D1681">
        <v>3</v>
      </c>
      <c r="E1681" s="7" t="s">
        <v>200</v>
      </c>
      <c r="F1681" s="7">
        <v>11</v>
      </c>
    </row>
    <row r="1682" spans="1:6" x14ac:dyDescent="0.2">
      <c r="A1682" s="7" t="s">
        <v>165</v>
      </c>
      <c r="B1682">
        <v>72017</v>
      </c>
      <c r="C1682">
        <v>81</v>
      </c>
      <c r="D1682">
        <v>3</v>
      </c>
      <c r="E1682" s="7" t="s">
        <v>200</v>
      </c>
      <c r="F1682" s="7">
        <v>32</v>
      </c>
    </row>
    <row r="1683" spans="1:6" x14ac:dyDescent="0.2">
      <c r="A1683" s="7" t="s">
        <v>165</v>
      </c>
      <c r="B1683">
        <v>72017</v>
      </c>
      <c r="C1683">
        <v>82</v>
      </c>
      <c r="D1683">
        <v>3</v>
      </c>
      <c r="E1683" s="7" t="s">
        <v>200</v>
      </c>
      <c r="F1683" s="7">
        <v>180</v>
      </c>
    </row>
    <row r="1684" spans="1:6" x14ac:dyDescent="0.2">
      <c r="A1684" s="7" t="s">
        <v>165</v>
      </c>
      <c r="B1684">
        <v>72017</v>
      </c>
      <c r="C1684">
        <v>83</v>
      </c>
      <c r="D1684">
        <v>3</v>
      </c>
      <c r="E1684" s="7" t="s">
        <v>200</v>
      </c>
      <c r="F1684" s="7">
        <v>90</v>
      </c>
    </row>
    <row r="1685" spans="1:6" x14ac:dyDescent="0.2">
      <c r="A1685" s="7" t="s">
        <v>165</v>
      </c>
      <c r="B1685">
        <v>72017</v>
      </c>
      <c r="C1685">
        <v>84</v>
      </c>
      <c r="D1685">
        <v>3</v>
      </c>
      <c r="E1685" s="7" t="s">
        <v>200</v>
      </c>
      <c r="F1685" s="7">
        <v>22.6</v>
      </c>
    </row>
    <row r="1686" spans="1:6" x14ac:dyDescent="0.2">
      <c r="A1686" s="7" t="s">
        <v>165</v>
      </c>
      <c r="B1686">
        <v>72017</v>
      </c>
      <c r="C1686">
        <v>85</v>
      </c>
      <c r="D1686">
        <v>3</v>
      </c>
      <c r="E1686" s="7" t="s">
        <v>200</v>
      </c>
      <c r="F1686" s="7">
        <v>64</v>
      </c>
    </row>
    <row r="1687" spans="1:6" x14ac:dyDescent="0.2">
      <c r="A1687" s="7" t="s">
        <v>165</v>
      </c>
      <c r="B1687">
        <v>72017</v>
      </c>
      <c r="C1687">
        <v>86</v>
      </c>
      <c r="D1687">
        <v>3</v>
      </c>
      <c r="E1687" s="7" t="s">
        <v>200</v>
      </c>
      <c r="F1687" s="7">
        <v>180</v>
      </c>
    </row>
    <row r="1688" spans="1:6" x14ac:dyDescent="0.2">
      <c r="A1688" s="7" t="s">
        <v>165</v>
      </c>
      <c r="B1688">
        <v>72017</v>
      </c>
      <c r="C1688">
        <v>87</v>
      </c>
      <c r="D1688">
        <v>4</v>
      </c>
      <c r="E1688" s="7" t="s">
        <v>200</v>
      </c>
      <c r="F1688" s="7">
        <v>90</v>
      </c>
    </row>
    <row r="1689" spans="1:6" x14ac:dyDescent="0.2">
      <c r="A1689" s="7" t="s">
        <v>165</v>
      </c>
      <c r="B1689">
        <v>72017</v>
      </c>
      <c r="C1689">
        <v>88</v>
      </c>
      <c r="D1689">
        <v>4</v>
      </c>
      <c r="E1689" s="7" t="s">
        <v>200</v>
      </c>
      <c r="F1689" s="7">
        <v>16</v>
      </c>
    </row>
    <row r="1690" spans="1:6" x14ac:dyDescent="0.2">
      <c r="A1690" s="7" t="s">
        <v>165</v>
      </c>
      <c r="B1690">
        <v>72017</v>
      </c>
      <c r="C1690">
        <v>89</v>
      </c>
      <c r="D1690">
        <v>4</v>
      </c>
      <c r="E1690" s="7" t="s">
        <v>200</v>
      </c>
      <c r="F1690" s="7">
        <v>32</v>
      </c>
    </row>
    <row r="1691" spans="1:6" x14ac:dyDescent="0.2">
      <c r="A1691" s="7" t="s">
        <v>165</v>
      </c>
      <c r="B1691">
        <v>72017</v>
      </c>
      <c r="C1691">
        <v>90</v>
      </c>
      <c r="D1691">
        <v>4</v>
      </c>
      <c r="E1691" s="7" t="s">
        <v>200</v>
      </c>
      <c r="F1691" s="7">
        <v>45</v>
      </c>
    </row>
    <row r="1692" spans="1:6" x14ac:dyDescent="0.2">
      <c r="A1692" s="7" t="s">
        <v>165</v>
      </c>
      <c r="B1692">
        <v>72017</v>
      </c>
      <c r="C1692">
        <v>91</v>
      </c>
      <c r="D1692">
        <v>4</v>
      </c>
      <c r="E1692" s="7" t="s">
        <v>200</v>
      </c>
      <c r="F1692" s="7">
        <v>90</v>
      </c>
    </row>
    <row r="1693" spans="1:6" x14ac:dyDescent="0.2">
      <c r="A1693" s="7" t="s">
        <v>165</v>
      </c>
      <c r="B1693">
        <v>72017</v>
      </c>
      <c r="C1693">
        <v>92</v>
      </c>
      <c r="D1693">
        <v>4</v>
      </c>
      <c r="E1693" s="7" t="s">
        <v>200</v>
      </c>
      <c r="F1693" s="7">
        <v>90</v>
      </c>
    </row>
    <row r="1694" spans="1:6" x14ac:dyDescent="0.2">
      <c r="A1694" s="7" t="s">
        <v>165</v>
      </c>
      <c r="B1694">
        <v>72017</v>
      </c>
      <c r="C1694">
        <v>93</v>
      </c>
      <c r="D1694">
        <v>4</v>
      </c>
      <c r="E1694" s="7" t="s">
        <v>200</v>
      </c>
      <c r="F1694" s="7">
        <v>180</v>
      </c>
    </row>
    <row r="1695" spans="1:6" x14ac:dyDescent="0.2">
      <c r="A1695" s="7" t="s">
        <v>165</v>
      </c>
      <c r="B1695">
        <v>72017</v>
      </c>
      <c r="C1695">
        <v>94</v>
      </c>
      <c r="D1695">
        <v>4</v>
      </c>
      <c r="E1695" s="7" t="s">
        <v>200</v>
      </c>
      <c r="F1695" s="7">
        <v>32</v>
      </c>
    </row>
    <row r="1696" spans="1:6" x14ac:dyDescent="0.2">
      <c r="A1696" s="7" t="s">
        <v>165</v>
      </c>
      <c r="B1696">
        <v>72017</v>
      </c>
      <c r="C1696">
        <v>95</v>
      </c>
      <c r="D1696">
        <v>4</v>
      </c>
      <c r="E1696" s="7" t="s">
        <v>200</v>
      </c>
      <c r="F1696" s="7">
        <v>128</v>
      </c>
    </row>
    <row r="1697" spans="1:7" x14ac:dyDescent="0.2">
      <c r="A1697" s="7" t="s">
        <v>165</v>
      </c>
      <c r="B1697">
        <v>72017</v>
      </c>
      <c r="C1697">
        <v>96</v>
      </c>
      <c r="D1697">
        <v>4</v>
      </c>
      <c r="E1697" s="7" t="s">
        <v>127</v>
      </c>
      <c r="F1697" s="7">
        <v>64</v>
      </c>
    </row>
    <row r="1698" spans="1:7" x14ac:dyDescent="0.2">
      <c r="A1698" s="7" t="s">
        <v>165</v>
      </c>
      <c r="B1698">
        <v>72017</v>
      </c>
      <c r="C1698">
        <v>97</v>
      </c>
      <c r="D1698">
        <v>4</v>
      </c>
      <c r="E1698" s="7" t="s">
        <v>127</v>
      </c>
      <c r="F1698" s="7">
        <v>45</v>
      </c>
    </row>
    <row r="1699" spans="1:7" x14ac:dyDescent="0.2">
      <c r="A1699" s="7" t="s">
        <v>165</v>
      </c>
      <c r="B1699">
        <v>72017</v>
      </c>
      <c r="C1699">
        <v>98</v>
      </c>
      <c r="D1699">
        <v>4</v>
      </c>
      <c r="E1699" s="7" t="s">
        <v>127</v>
      </c>
      <c r="F1699" s="7">
        <v>64</v>
      </c>
    </row>
    <row r="1700" spans="1:7" x14ac:dyDescent="0.2">
      <c r="A1700" s="7" t="s">
        <v>165</v>
      </c>
      <c r="B1700">
        <v>72017</v>
      </c>
      <c r="C1700">
        <v>99</v>
      </c>
      <c r="D1700">
        <v>4</v>
      </c>
      <c r="E1700" s="7" t="s">
        <v>127</v>
      </c>
      <c r="F1700" s="7">
        <v>90</v>
      </c>
    </row>
    <row r="1701" spans="1:7" x14ac:dyDescent="0.2">
      <c r="A1701" s="7" t="s">
        <v>165</v>
      </c>
      <c r="B1701">
        <v>72017</v>
      </c>
      <c r="C1701">
        <v>100</v>
      </c>
      <c r="D1701">
        <v>4</v>
      </c>
      <c r="E1701" s="7" t="s">
        <v>127</v>
      </c>
      <c r="F1701" s="7">
        <v>45</v>
      </c>
    </row>
    <row r="1702" spans="1:7" x14ac:dyDescent="0.2">
      <c r="A1702" s="7" t="s">
        <v>226</v>
      </c>
      <c r="B1702">
        <v>72217</v>
      </c>
      <c r="C1702">
        <v>1</v>
      </c>
      <c r="D1702">
        <v>1</v>
      </c>
      <c r="E1702" s="7" t="s">
        <v>125</v>
      </c>
      <c r="F1702" s="7">
        <v>45</v>
      </c>
      <c r="G1702" s="7" t="s">
        <v>244</v>
      </c>
    </row>
    <row r="1703" spans="1:7" x14ac:dyDescent="0.2">
      <c r="A1703" s="7" t="s">
        <v>226</v>
      </c>
      <c r="B1703">
        <v>72217</v>
      </c>
      <c r="C1703">
        <v>2</v>
      </c>
      <c r="E1703" s="7" t="s">
        <v>125</v>
      </c>
      <c r="F1703" s="7" t="s">
        <v>115</v>
      </c>
      <c r="G1703" s="7" t="s">
        <v>242</v>
      </c>
    </row>
    <row r="1704" spans="1:7" x14ac:dyDescent="0.2">
      <c r="A1704" s="7" t="s">
        <v>226</v>
      </c>
      <c r="B1704">
        <v>72217</v>
      </c>
      <c r="C1704">
        <v>3</v>
      </c>
      <c r="E1704" s="7" t="s">
        <v>125</v>
      </c>
      <c r="F1704" s="7" t="s">
        <v>115</v>
      </c>
      <c r="G1704" s="7" t="s">
        <v>242</v>
      </c>
    </row>
    <row r="1705" spans="1:7" x14ac:dyDescent="0.2">
      <c r="A1705" s="7" t="s">
        <v>226</v>
      </c>
      <c r="B1705">
        <v>72217</v>
      </c>
      <c r="C1705">
        <v>4</v>
      </c>
      <c r="E1705" s="7" t="s">
        <v>125</v>
      </c>
      <c r="F1705" s="7">
        <v>45</v>
      </c>
      <c r="G1705" s="7" t="s">
        <v>242</v>
      </c>
    </row>
    <row r="1706" spans="1:7" x14ac:dyDescent="0.2">
      <c r="A1706" s="7" t="s">
        <v>226</v>
      </c>
      <c r="B1706">
        <v>72217</v>
      </c>
      <c r="C1706">
        <v>5</v>
      </c>
      <c r="E1706" s="7" t="s">
        <v>127</v>
      </c>
      <c r="F1706" s="7">
        <v>32</v>
      </c>
      <c r="G1706" s="7" t="s">
        <v>242</v>
      </c>
    </row>
    <row r="1707" spans="1:7" x14ac:dyDescent="0.2">
      <c r="A1707" s="7" t="s">
        <v>226</v>
      </c>
      <c r="B1707">
        <v>72217</v>
      </c>
      <c r="C1707">
        <v>6</v>
      </c>
      <c r="E1707" s="7" t="s">
        <v>127</v>
      </c>
      <c r="F1707" s="7">
        <v>22.6</v>
      </c>
      <c r="G1707" s="7" t="s">
        <v>242</v>
      </c>
    </row>
    <row r="1708" spans="1:7" x14ac:dyDescent="0.2">
      <c r="A1708" s="7" t="s">
        <v>226</v>
      </c>
      <c r="B1708">
        <v>72217</v>
      </c>
      <c r="C1708">
        <v>7</v>
      </c>
      <c r="E1708" s="7" t="s">
        <v>127</v>
      </c>
      <c r="F1708" s="7">
        <v>90</v>
      </c>
      <c r="G1708" s="7" t="s">
        <v>242</v>
      </c>
    </row>
    <row r="1709" spans="1:7" x14ac:dyDescent="0.2">
      <c r="A1709" s="7" t="s">
        <v>226</v>
      </c>
      <c r="B1709">
        <v>72217</v>
      </c>
      <c r="C1709">
        <v>8</v>
      </c>
      <c r="E1709" s="7" t="s">
        <v>127</v>
      </c>
      <c r="F1709" s="7">
        <v>64</v>
      </c>
      <c r="G1709" s="7" t="s">
        <v>242</v>
      </c>
    </row>
    <row r="1710" spans="1:7" x14ac:dyDescent="0.2">
      <c r="A1710" s="7" t="s">
        <v>226</v>
      </c>
      <c r="B1710">
        <v>72217</v>
      </c>
      <c r="C1710">
        <v>9</v>
      </c>
      <c r="E1710" s="7" t="s">
        <v>127</v>
      </c>
      <c r="F1710" s="7">
        <v>22.6</v>
      </c>
      <c r="G1710" s="7" t="s">
        <v>242</v>
      </c>
    </row>
    <row r="1711" spans="1:7" x14ac:dyDescent="0.2">
      <c r="A1711" s="7" t="s">
        <v>226</v>
      </c>
      <c r="B1711">
        <v>72217</v>
      </c>
      <c r="C1711">
        <v>10</v>
      </c>
      <c r="E1711" s="7" t="s">
        <v>127</v>
      </c>
      <c r="F1711" s="7">
        <v>45</v>
      </c>
      <c r="G1711" s="7" t="s">
        <v>242</v>
      </c>
    </row>
    <row r="1712" spans="1:7" x14ac:dyDescent="0.2">
      <c r="A1712" s="7" t="s">
        <v>226</v>
      </c>
      <c r="B1712">
        <v>72217</v>
      </c>
      <c r="C1712">
        <v>11</v>
      </c>
      <c r="E1712" s="7" t="s">
        <v>127</v>
      </c>
      <c r="F1712" s="7">
        <v>45</v>
      </c>
      <c r="G1712" s="7" t="s">
        <v>242</v>
      </c>
    </row>
    <row r="1713" spans="1:7" x14ac:dyDescent="0.2">
      <c r="A1713" s="7" t="s">
        <v>226</v>
      </c>
      <c r="B1713">
        <v>72217</v>
      </c>
      <c r="C1713">
        <v>12</v>
      </c>
      <c r="E1713" s="7" t="s">
        <v>127</v>
      </c>
      <c r="F1713" s="7">
        <v>45</v>
      </c>
      <c r="G1713" s="7" t="s">
        <v>242</v>
      </c>
    </row>
    <row r="1714" spans="1:7" x14ac:dyDescent="0.2">
      <c r="A1714" s="7" t="s">
        <v>226</v>
      </c>
      <c r="B1714">
        <v>72217</v>
      </c>
      <c r="C1714">
        <v>13</v>
      </c>
      <c r="E1714" s="7" t="s">
        <v>127</v>
      </c>
      <c r="F1714" s="7">
        <v>45</v>
      </c>
      <c r="G1714" s="7" t="s">
        <v>242</v>
      </c>
    </row>
    <row r="1715" spans="1:7" x14ac:dyDescent="0.2">
      <c r="A1715" s="7" t="s">
        <v>226</v>
      </c>
      <c r="B1715">
        <v>72217</v>
      </c>
      <c r="C1715">
        <v>14</v>
      </c>
      <c r="E1715" s="7" t="s">
        <v>127</v>
      </c>
      <c r="F1715" s="7" t="s">
        <v>115</v>
      </c>
      <c r="G1715" s="7" t="s">
        <v>242</v>
      </c>
    </row>
    <row r="1716" spans="1:7" x14ac:dyDescent="0.2">
      <c r="A1716" s="7" t="s">
        <v>226</v>
      </c>
      <c r="B1716">
        <v>72217</v>
      </c>
      <c r="C1716">
        <v>15</v>
      </c>
      <c r="E1716" s="7" t="s">
        <v>200</v>
      </c>
      <c r="F1716" s="7" t="s">
        <v>115</v>
      </c>
      <c r="G1716" s="7" t="s">
        <v>242</v>
      </c>
    </row>
    <row r="1717" spans="1:7" x14ac:dyDescent="0.2">
      <c r="A1717" s="7" t="s">
        <v>226</v>
      </c>
      <c r="B1717">
        <v>72217</v>
      </c>
      <c r="C1717">
        <v>16</v>
      </c>
      <c r="E1717" s="7" t="s">
        <v>200</v>
      </c>
      <c r="F1717" s="7">
        <v>45</v>
      </c>
      <c r="G1717" s="7" t="s">
        <v>242</v>
      </c>
    </row>
    <row r="1718" spans="1:7" x14ac:dyDescent="0.2">
      <c r="A1718" s="7" t="s">
        <v>226</v>
      </c>
      <c r="B1718">
        <v>72217</v>
      </c>
      <c r="C1718">
        <v>17</v>
      </c>
      <c r="E1718" s="7" t="s">
        <v>200</v>
      </c>
      <c r="F1718" s="7" t="s">
        <v>115</v>
      </c>
      <c r="G1718" s="7" t="s">
        <v>242</v>
      </c>
    </row>
    <row r="1719" spans="1:7" x14ac:dyDescent="0.2">
      <c r="A1719" s="7" t="s">
        <v>226</v>
      </c>
      <c r="B1719">
        <v>72217</v>
      </c>
      <c r="C1719">
        <v>18</v>
      </c>
      <c r="E1719" s="7" t="s">
        <v>200</v>
      </c>
      <c r="F1719" s="7" t="s">
        <v>115</v>
      </c>
      <c r="G1719" s="7" t="s">
        <v>242</v>
      </c>
    </row>
    <row r="1720" spans="1:7" x14ac:dyDescent="0.2">
      <c r="A1720" s="7" t="s">
        <v>226</v>
      </c>
      <c r="B1720">
        <v>72217</v>
      </c>
      <c r="C1720">
        <v>19</v>
      </c>
      <c r="E1720" s="7" t="s">
        <v>200</v>
      </c>
      <c r="F1720">
        <v>64</v>
      </c>
      <c r="G1720" s="7" t="s">
        <v>242</v>
      </c>
    </row>
    <row r="1721" spans="1:7" x14ac:dyDescent="0.2">
      <c r="A1721" s="7" t="s">
        <v>226</v>
      </c>
      <c r="B1721">
        <v>72217</v>
      </c>
      <c r="C1721">
        <v>20</v>
      </c>
      <c r="E1721" s="7" t="s">
        <v>200</v>
      </c>
      <c r="F1721">
        <v>64</v>
      </c>
      <c r="G1721" s="7" t="s">
        <v>242</v>
      </c>
    </row>
    <row r="1722" spans="1:7" x14ac:dyDescent="0.2">
      <c r="A1722" s="7" t="s">
        <v>226</v>
      </c>
      <c r="B1722">
        <v>72217</v>
      </c>
      <c r="C1722">
        <v>21</v>
      </c>
      <c r="E1722" s="7" t="s">
        <v>200</v>
      </c>
      <c r="F1722" s="7" t="s">
        <v>115</v>
      </c>
      <c r="G1722" s="7" t="s">
        <v>242</v>
      </c>
    </row>
    <row r="1723" spans="1:7" x14ac:dyDescent="0.2">
      <c r="A1723" s="7" t="s">
        <v>226</v>
      </c>
      <c r="B1723">
        <v>72217</v>
      </c>
      <c r="C1723">
        <v>22</v>
      </c>
      <c r="E1723" s="7" t="s">
        <v>127</v>
      </c>
      <c r="F1723">
        <v>64</v>
      </c>
      <c r="G1723" s="7" t="s">
        <v>242</v>
      </c>
    </row>
    <row r="1724" spans="1:7" x14ac:dyDescent="0.2">
      <c r="A1724" s="7" t="s">
        <v>226</v>
      </c>
      <c r="B1724">
        <v>72217</v>
      </c>
      <c r="C1724">
        <v>23</v>
      </c>
      <c r="E1724" s="7" t="s">
        <v>127</v>
      </c>
      <c r="F1724">
        <v>45</v>
      </c>
      <c r="G1724" s="7" t="s">
        <v>242</v>
      </c>
    </row>
    <row r="1725" spans="1:7" x14ac:dyDescent="0.2">
      <c r="A1725" s="7" t="s">
        <v>226</v>
      </c>
      <c r="B1725">
        <v>72217</v>
      </c>
      <c r="C1725">
        <v>24</v>
      </c>
      <c r="E1725" s="7" t="s">
        <v>127</v>
      </c>
      <c r="F1725">
        <v>45</v>
      </c>
      <c r="G1725" s="7" t="s">
        <v>242</v>
      </c>
    </row>
    <row r="1726" spans="1:7" x14ac:dyDescent="0.2">
      <c r="A1726" s="7" t="s">
        <v>226</v>
      </c>
      <c r="B1726">
        <v>72217</v>
      </c>
      <c r="C1726">
        <v>25</v>
      </c>
      <c r="E1726" s="7" t="s">
        <v>127</v>
      </c>
      <c r="F1726">
        <v>64</v>
      </c>
      <c r="G1726" s="7" t="s">
        <v>242</v>
      </c>
    </row>
    <row r="1727" spans="1:7" x14ac:dyDescent="0.2">
      <c r="A1727" s="7" t="s">
        <v>226</v>
      </c>
      <c r="B1727">
        <v>72217</v>
      </c>
      <c r="C1727">
        <v>26</v>
      </c>
      <c r="E1727" s="7" t="s">
        <v>127</v>
      </c>
      <c r="F1727">
        <v>45</v>
      </c>
      <c r="G1727" s="7" t="s">
        <v>242</v>
      </c>
    </row>
    <row r="1728" spans="1:7" x14ac:dyDescent="0.2">
      <c r="A1728" s="7" t="s">
        <v>226</v>
      </c>
      <c r="B1728">
        <v>72217</v>
      </c>
      <c r="C1728">
        <v>27</v>
      </c>
      <c r="E1728" s="7" t="s">
        <v>127</v>
      </c>
      <c r="F1728" s="7" t="s">
        <v>115</v>
      </c>
      <c r="G1728" s="7" t="s">
        <v>242</v>
      </c>
    </row>
    <row r="1729" spans="1:7" x14ac:dyDescent="0.2">
      <c r="A1729" s="7" t="s">
        <v>226</v>
      </c>
      <c r="B1729">
        <v>72217</v>
      </c>
      <c r="C1729">
        <v>28</v>
      </c>
      <c r="E1729" s="7" t="s">
        <v>127</v>
      </c>
      <c r="F1729" s="7">
        <v>45</v>
      </c>
      <c r="G1729" s="7" t="s">
        <v>242</v>
      </c>
    </row>
    <row r="1730" spans="1:7" x14ac:dyDescent="0.2">
      <c r="A1730" s="7" t="s">
        <v>226</v>
      </c>
      <c r="B1730">
        <v>72217</v>
      </c>
      <c r="C1730">
        <v>29</v>
      </c>
      <c r="E1730" s="7" t="s">
        <v>127</v>
      </c>
      <c r="F1730" s="7">
        <v>45</v>
      </c>
      <c r="G1730" s="7" t="s">
        <v>242</v>
      </c>
    </row>
    <row r="1731" spans="1:7" x14ac:dyDescent="0.2">
      <c r="A1731" s="7" t="s">
        <v>226</v>
      </c>
      <c r="B1731">
        <v>72217</v>
      </c>
      <c r="C1731">
        <v>30</v>
      </c>
      <c r="E1731" s="7" t="s">
        <v>127</v>
      </c>
      <c r="F1731" s="7">
        <v>45</v>
      </c>
      <c r="G1731" s="7" t="s">
        <v>242</v>
      </c>
    </row>
    <row r="1732" spans="1:7" x14ac:dyDescent="0.2">
      <c r="A1732" s="7" t="s">
        <v>226</v>
      </c>
      <c r="B1732">
        <v>72217</v>
      </c>
      <c r="C1732">
        <v>31</v>
      </c>
      <c r="E1732" s="7" t="s">
        <v>127</v>
      </c>
      <c r="F1732" s="7">
        <v>45</v>
      </c>
      <c r="G1732" s="7" t="s">
        <v>242</v>
      </c>
    </row>
    <row r="1733" spans="1:7" x14ac:dyDescent="0.2">
      <c r="A1733" s="7" t="s">
        <v>226</v>
      </c>
      <c r="B1733">
        <v>72217</v>
      </c>
      <c r="C1733">
        <v>32</v>
      </c>
      <c r="E1733" s="7" t="s">
        <v>127</v>
      </c>
      <c r="F1733" s="7">
        <v>45</v>
      </c>
      <c r="G1733" s="7" t="s">
        <v>242</v>
      </c>
    </row>
    <row r="1734" spans="1:7" x14ac:dyDescent="0.2">
      <c r="A1734" s="7" t="s">
        <v>226</v>
      </c>
      <c r="B1734">
        <v>72217</v>
      </c>
      <c r="C1734">
        <v>33</v>
      </c>
      <c r="E1734" s="7" t="s">
        <v>200</v>
      </c>
      <c r="F1734" s="7">
        <v>32</v>
      </c>
      <c r="G1734" s="7" t="s">
        <v>242</v>
      </c>
    </row>
    <row r="1735" spans="1:7" x14ac:dyDescent="0.2">
      <c r="A1735" s="7" t="s">
        <v>226</v>
      </c>
      <c r="B1735">
        <v>72217</v>
      </c>
      <c r="C1735">
        <v>34</v>
      </c>
      <c r="E1735" s="7" t="s">
        <v>200</v>
      </c>
      <c r="F1735" s="7" t="s">
        <v>115</v>
      </c>
      <c r="G1735" s="7" t="s">
        <v>242</v>
      </c>
    </row>
    <row r="1736" spans="1:7" x14ac:dyDescent="0.2">
      <c r="A1736" s="7" t="s">
        <v>226</v>
      </c>
      <c r="B1736">
        <v>72217</v>
      </c>
      <c r="C1736">
        <v>35</v>
      </c>
      <c r="E1736" s="7" t="s">
        <v>200</v>
      </c>
      <c r="F1736" s="7" t="s">
        <v>115</v>
      </c>
      <c r="G1736" s="7" t="s">
        <v>242</v>
      </c>
    </row>
    <row r="1737" spans="1:7" x14ac:dyDescent="0.2">
      <c r="A1737" s="7" t="s">
        <v>226</v>
      </c>
      <c r="B1737">
        <v>72217</v>
      </c>
      <c r="C1737">
        <v>36</v>
      </c>
      <c r="E1737" s="7" t="s">
        <v>200</v>
      </c>
      <c r="F1737" s="7">
        <v>32</v>
      </c>
      <c r="G1737" s="7" t="s">
        <v>242</v>
      </c>
    </row>
    <row r="1738" spans="1:7" x14ac:dyDescent="0.2">
      <c r="A1738" s="7" t="s">
        <v>226</v>
      </c>
      <c r="B1738">
        <v>72217</v>
      </c>
      <c r="C1738">
        <v>37</v>
      </c>
      <c r="E1738" s="7" t="s">
        <v>127</v>
      </c>
      <c r="F1738" s="7">
        <v>32</v>
      </c>
      <c r="G1738" s="7" t="s">
        <v>242</v>
      </c>
    </row>
    <row r="1739" spans="1:7" x14ac:dyDescent="0.2">
      <c r="A1739" s="7" t="s">
        <v>226</v>
      </c>
      <c r="B1739">
        <v>72217</v>
      </c>
      <c r="C1739">
        <v>38</v>
      </c>
      <c r="E1739" s="7" t="s">
        <v>127</v>
      </c>
      <c r="F1739" s="7">
        <v>45</v>
      </c>
      <c r="G1739" s="7" t="s">
        <v>242</v>
      </c>
    </row>
    <row r="1740" spans="1:7" x14ac:dyDescent="0.2">
      <c r="A1740" s="7" t="s">
        <v>226</v>
      </c>
      <c r="B1740">
        <v>72217</v>
      </c>
      <c r="C1740">
        <v>39</v>
      </c>
      <c r="E1740" s="7" t="s">
        <v>127</v>
      </c>
      <c r="F1740" s="7">
        <v>45</v>
      </c>
      <c r="G1740" s="7" t="s">
        <v>242</v>
      </c>
    </row>
    <row r="1741" spans="1:7" x14ac:dyDescent="0.2">
      <c r="A1741" s="7" t="s">
        <v>226</v>
      </c>
      <c r="B1741">
        <v>72217</v>
      </c>
      <c r="C1741">
        <v>40</v>
      </c>
      <c r="E1741" s="7" t="s">
        <v>127</v>
      </c>
      <c r="F1741" s="7">
        <v>90</v>
      </c>
      <c r="G1741" s="7" t="s">
        <v>242</v>
      </c>
    </row>
    <row r="1742" spans="1:7" x14ac:dyDescent="0.2">
      <c r="A1742" s="7" t="s">
        <v>226</v>
      </c>
      <c r="B1742">
        <v>72217</v>
      </c>
      <c r="C1742">
        <v>41</v>
      </c>
      <c r="E1742" s="7" t="s">
        <v>127</v>
      </c>
      <c r="F1742" s="7">
        <v>45</v>
      </c>
      <c r="G1742" s="7" t="s">
        <v>242</v>
      </c>
    </row>
    <row r="1743" spans="1:7" x14ac:dyDescent="0.2">
      <c r="A1743" s="7" t="s">
        <v>226</v>
      </c>
      <c r="B1743">
        <v>72217</v>
      </c>
      <c r="C1743">
        <v>42</v>
      </c>
      <c r="E1743" s="7" t="s">
        <v>127</v>
      </c>
      <c r="F1743" s="7">
        <v>90</v>
      </c>
      <c r="G1743" s="7" t="s">
        <v>242</v>
      </c>
    </row>
    <row r="1744" spans="1:7" x14ac:dyDescent="0.2">
      <c r="A1744" s="7" t="s">
        <v>226</v>
      </c>
      <c r="B1744">
        <v>72217</v>
      </c>
      <c r="C1744">
        <v>43</v>
      </c>
      <c r="E1744" s="7" t="s">
        <v>127</v>
      </c>
      <c r="F1744" s="7">
        <v>64</v>
      </c>
      <c r="G1744" s="7" t="s">
        <v>242</v>
      </c>
    </row>
    <row r="1745" spans="1:7" x14ac:dyDescent="0.2">
      <c r="A1745" s="7" t="s">
        <v>226</v>
      </c>
      <c r="B1745">
        <v>72217</v>
      </c>
      <c r="C1745">
        <v>44</v>
      </c>
      <c r="E1745" s="7" t="s">
        <v>127</v>
      </c>
      <c r="F1745" s="7">
        <v>64</v>
      </c>
      <c r="G1745" s="7" t="s">
        <v>242</v>
      </c>
    </row>
    <row r="1746" spans="1:7" x14ac:dyDescent="0.2">
      <c r="A1746" s="7" t="s">
        <v>226</v>
      </c>
      <c r="B1746">
        <v>72217</v>
      </c>
      <c r="C1746">
        <v>45</v>
      </c>
      <c r="E1746" s="7" t="s">
        <v>200</v>
      </c>
      <c r="F1746" s="7" t="s">
        <v>115</v>
      </c>
      <c r="G1746" s="7" t="s">
        <v>242</v>
      </c>
    </row>
    <row r="1747" spans="1:7" x14ac:dyDescent="0.2">
      <c r="A1747" s="7" t="s">
        <v>226</v>
      </c>
      <c r="B1747">
        <v>72217</v>
      </c>
      <c r="C1747">
        <v>46</v>
      </c>
      <c r="E1747" s="7" t="s">
        <v>200</v>
      </c>
      <c r="F1747" s="7" t="s">
        <v>115</v>
      </c>
      <c r="G1747" s="7" t="s">
        <v>242</v>
      </c>
    </row>
    <row r="1748" spans="1:7" x14ac:dyDescent="0.2">
      <c r="A1748" s="7" t="s">
        <v>226</v>
      </c>
      <c r="B1748">
        <v>72217</v>
      </c>
      <c r="C1748">
        <v>47</v>
      </c>
      <c r="E1748" s="7" t="s">
        <v>200</v>
      </c>
      <c r="F1748" s="7" t="s">
        <v>115</v>
      </c>
      <c r="G1748" s="7" t="s">
        <v>242</v>
      </c>
    </row>
    <row r="1749" spans="1:7" x14ac:dyDescent="0.2">
      <c r="A1749" s="7" t="s">
        <v>226</v>
      </c>
      <c r="B1749">
        <v>72217</v>
      </c>
      <c r="C1749">
        <v>48</v>
      </c>
      <c r="E1749" s="7" t="s">
        <v>200</v>
      </c>
      <c r="F1749" s="7" t="s">
        <v>115</v>
      </c>
      <c r="G1749" s="7" t="s">
        <v>242</v>
      </c>
    </row>
    <row r="1750" spans="1:7" x14ac:dyDescent="0.2">
      <c r="A1750" s="7" t="s">
        <v>226</v>
      </c>
      <c r="B1750">
        <v>72217</v>
      </c>
      <c r="C1750">
        <v>49</v>
      </c>
      <c r="E1750" s="7" t="s">
        <v>200</v>
      </c>
      <c r="F1750">
        <v>64</v>
      </c>
      <c r="G1750" s="7" t="s">
        <v>242</v>
      </c>
    </row>
    <row r="1751" spans="1:7" x14ac:dyDescent="0.2">
      <c r="A1751" s="7" t="s">
        <v>226</v>
      </c>
      <c r="B1751">
        <v>72217</v>
      </c>
      <c r="C1751">
        <v>50</v>
      </c>
      <c r="E1751" s="7" t="s">
        <v>200</v>
      </c>
      <c r="F1751">
        <v>45</v>
      </c>
      <c r="G1751" s="7" t="s">
        <v>242</v>
      </c>
    </row>
    <row r="1752" spans="1:7" x14ac:dyDescent="0.2">
      <c r="A1752" s="7" t="s">
        <v>226</v>
      </c>
      <c r="B1752">
        <v>72217</v>
      </c>
      <c r="C1752">
        <v>51</v>
      </c>
      <c r="E1752" s="7" t="s">
        <v>200</v>
      </c>
      <c r="F1752" s="7" t="s">
        <v>115</v>
      </c>
      <c r="G1752" s="7" t="s">
        <v>242</v>
      </c>
    </row>
    <row r="1753" spans="1:7" x14ac:dyDescent="0.2">
      <c r="A1753" s="7" t="s">
        <v>226</v>
      </c>
      <c r="B1753">
        <v>72217</v>
      </c>
      <c r="C1753">
        <v>52</v>
      </c>
      <c r="E1753" s="7" t="s">
        <v>127</v>
      </c>
      <c r="F1753">
        <v>45</v>
      </c>
      <c r="G1753" s="7" t="s">
        <v>242</v>
      </c>
    </row>
    <row r="1754" spans="1:7" x14ac:dyDescent="0.2">
      <c r="A1754" s="7" t="s">
        <v>226</v>
      </c>
      <c r="B1754">
        <v>72217</v>
      </c>
      <c r="C1754">
        <v>53</v>
      </c>
      <c r="E1754" s="7" t="s">
        <v>127</v>
      </c>
      <c r="F1754">
        <v>128</v>
      </c>
      <c r="G1754" s="7" t="s">
        <v>242</v>
      </c>
    </row>
    <row r="1755" spans="1:7" x14ac:dyDescent="0.2">
      <c r="A1755" s="7" t="s">
        <v>226</v>
      </c>
      <c r="B1755">
        <v>72217</v>
      </c>
      <c r="C1755">
        <v>54</v>
      </c>
      <c r="E1755" s="7" t="s">
        <v>127</v>
      </c>
      <c r="F1755">
        <v>90</v>
      </c>
      <c r="G1755" s="7" t="s">
        <v>242</v>
      </c>
    </row>
    <row r="1756" spans="1:7" x14ac:dyDescent="0.2">
      <c r="A1756" s="7" t="s">
        <v>226</v>
      </c>
      <c r="B1756">
        <v>72217</v>
      </c>
      <c r="C1756">
        <v>55</v>
      </c>
      <c r="E1756" s="7" t="s">
        <v>127</v>
      </c>
      <c r="F1756">
        <v>90</v>
      </c>
      <c r="G1756" s="7" t="s">
        <v>242</v>
      </c>
    </row>
    <row r="1757" spans="1:7" x14ac:dyDescent="0.2">
      <c r="A1757" s="7" t="s">
        <v>226</v>
      </c>
      <c r="B1757">
        <v>72217</v>
      </c>
      <c r="C1757">
        <v>56</v>
      </c>
      <c r="E1757" s="7" t="s">
        <v>127</v>
      </c>
      <c r="F1757">
        <v>64</v>
      </c>
      <c r="G1757" s="7" t="s">
        <v>242</v>
      </c>
    </row>
    <row r="1758" spans="1:7" x14ac:dyDescent="0.2">
      <c r="A1758" s="7" t="s">
        <v>226</v>
      </c>
      <c r="B1758">
        <v>72217</v>
      </c>
      <c r="C1758">
        <v>57</v>
      </c>
      <c r="E1758" s="7" t="s">
        <v>127</v>
      </c>
      <c r="F1758">
        <v>4</v>
      </c>
      <c r="G1758" s="7" t="s">
        <v>242</v>
      </c>
    </row>
    <row r="1759" spans="1:7" x14ac:dyDescent="0.2">
      <c r="A1759" s="7" t="s">
        <v>226</v>
      </c>
      <c r="B1759">
        <v>72217</v>
      </c>
      <c r="C1759">
        <v>58</v>
      </c>
      <c r="E1759" s="7" t="s">
        <v>127</v>
      </c>
      <c r="F1759">
        <v>64</v>
      </c>
      <c r="G1759" s="7" t="s">
        <v>242</v>
      </c>
    </row>
    <row r="1760" spans="1:7" x14ac:dyDescent="0.2">
      <c r="A1760" s="7" t="s">
        <v>226</v>
      </c>
      <c r="B1760">
        <v>72217</v>
      </c>
      <c r="C1760">
        <v>59</v>
      </c>
      <c r="E1760" s="7" t="s">
        <v>127</v>
      </c>
      <c r="F1760" s="7" t="s">
        <v>115</v>
      </c>
      <c r="G1760" s="7" t="s">
        <v>242</v>
      </c>
    </row>
    <row r="1761" spans="1:7" x14ac:dyDescent="0.2">
      <c r="A1761" s="7" t="s">
        <v>226</v>
      </c>
      <c r="B1761">
        <v>72217</v>
      </c>
      <c r="C1761">
        <v>60</v>
      </c>
      <c r="E1761" s="7" t="s">
        <v>127</v>
      </c>
      <c r="F1761" s="7" t="s">
        <v>115</v>
      </c>
      <c r="G1761" s="7" t="s">
        <v>242</v>
      </c>
    </row>
    <row r="1762" spans="1:7" x14ac:dyDescent="0.2">
      <c r="A1762" s="7" t="s">
        <v>226</v>
      </c>
      <c r="B1762">
        <v>72217</v>
      </c>
      <c r="C1762">
        <v>61</v>
      </c>
      <c r="E1762" s="7" t="s">
        <v>200</v>
      </c>
      <c r="F1762" s="7" t="s">
        <v>115</v>
      </c>
      <c r="G1762" s="7" t="s">
        <v>242</v>
      </c>
    </row>
    <row r="1763" spans="1:7" x14ac:dyDescent="0.2">
      <c r="A1763" s="7" t="s">
        <v>226</v>
      </c>
      <c r="B1763">
        <v>72217</v>
      </c>
      <c r="C1763">
        <v>62</v>
      </c>
      <c r="E1763" s="7" t="s">
        <v>200</v>
      </c>
      <c r="F1763" s="7" t="s">
        <v>115</v>
      </c>
      <c r="G1763" s="7" t="s">
        <v>242</v>
      </c>
    </row>
    <row r="1764" spans="1:7" x14ac:dyDescent="0.2">
      <c r="A1764" s="7" t="s">
        <v>226</v>
      </c>
      <c r="B1764">
        <v>72217</v>
      </c>
      <c r="C1764">
        <v>63</v>
      </c>
      <c r="E1764" s="7" t="s">
        <v>200</v>
      </c>
      <c r="F1764">
        <v>45</v>
      </c>
      <c r="G1764" s="7" t="s">
        <v>242</v>
      </c>
    </row>
    <row r="1765" spans="1:7" x14ac:dyDescent="0.2">
      <c r="A1765" s="7" t="s">
        <v>226</v>
      </c>
      <c r="B1765">
        <v>72217</v>
      </c>
      <c r="C1765">
        <v>64</v>
      </c>
      <c r="E1765" s="7" t="s">
        <v>200</v>
      </c>
      <c r="F1765" s="7" t="s">
        <v>115</v>
      </c>
      <c r="G1765" s="7" t="s">
        <v>242</v>
      </c>
    </row>
    <row r="1766" spans="1:7" x14ac:dyDescent="0.2">
      <c r="A1766" s="7" t="s">
        <v>226</v>
      </c>
      <c r="B1766">
        <v>72217</v>
      </c>
      <c r="C1766">
        <v>65</v>
      </c>
      <c r="D1766">
        <v>3</v>
      </c>
      <c r="E1766" s="7" t="s">
        <v>200</v>
      </c>
      <c r="F1766">
        <v>32</v>
      </c>
    </row>
    <row r="1767" spans="1:7" x14ac:dyDescent="0.2">
      <c r="A1767" s="7" t="s">
        <v>226</v>
      </c>
      <c r="B1767">
        <v>72217</v>
      </c>
      <c r="C1767">
        <v>66</v>
      </c>
      <c r="D1767">
        <v>3</v>
      </c>
      <c r="E1767" s="7" t="s">
        <v>200</v>
      </c>
      <c r="F1767" s="7" t="s">
        <v>115</v>
      </c>
    </row>
    <row r="1768" spans="1:7" x14ac:dyDescent="0.2">
      <c r="A1768" s="7" t="s">
        <v>226</v>
      </c>
      <c r="B1768">
        <v>72217</v>
      </c>
      <c r="C1768">
        <v>67</v>
      </c>
      <c r="D1768">
        <v>3</v>
      </c>
      <c r="E1768" s="7" t="s">
        <v>200</v>
      </c>
      <c r="F1768">
        <v>22.6</v>
      </c>
    </row>
    <row r="1769" spans="1:7" x14ac:dyDescent="0.2">
      <c r="A1769" s="7" t="s">
        <v>226</v>
      </c>
      <c r="B1769">
        <v>72217</v>
      </c>
      <c r="C1769">
        <v>68</v>
      </c>
      <c r="D1769">
        <v>3</v>
      </c>
      <c r="E1769" s="7" t="s">
        <v>200</v>
      </c>
      <c r="F1769">
        <v>64</v>
      </c>
    </row>
    <row r="1770" spans="1:7" x14ac:dyDescent="0.2">
      <c r="A1770" s="7" t="s">
        <v>226</v>
      </c>
      <c r="B1770">
        <v>72217</v>
      </c>
      <c r="C1770">
        <v>69</v>
      </c>
      <c r="D1770">
        <v>3</v>
      </c>
      <c r="E1770" s="7" t="s">
        <v>127</v>
      </c>
      <c r="F1770">
        <v>64</v>
      </c>
    </row>
    <row r="1771" spans="1:7" x14ac:dyDescent="0.2">
      <c r="A1771" s="7" t="s">
        <v>226</v>
      </c>
      <c r="B1771">
        <v>72217</v>
      </c>
      <c r="C1771">
        <v>70</v>
      </c>
      <c r="D1771">
        <v>3</v>
      </c>
      <c r="E1771" s="7" t="s">
        <v>127</v>
      </c>
      <c r="F1771">
        <v>90</v>
      </c>
    </row>
    <row r="1772" spans="1:7" x14ac:dyDescent="0.2">
      <c r="A1772" s="7" t="s">
        <v>226</v>
      </c>
      <c r="B1772">
        <v>72217</v>
      </c>
      <c r="C1772">
        <v>71</v>
      </c>
      <c r="D1772">
        <v>3</v>
      </c>
      <c r="E1772" s="7" t="s">
        <v>127</v>
      </c>
      <c r="F1772">
        <v>11</v>
      </c>
    </row>
    <row r="1773" spans="1:7" x14ac:dyDescent="0.2">
      <c r="A1773" s="7" t="s">
        <v>226</v>
      </c>
      <c r="B1773">
        <v>72217</v>
      </c>
      <c r="C1773">
        <v>72</v>
      </c>
      <c r="D1773">
        <v>3</v>
      </c>
      <c r="E1773" s="7" t="s">
        <v>127</v>
      </c>
      <c r="F1773">
        <v>32</v>
      </c>
    </row>
    <row r="1774" spans="1:7" x14ac:dyDescent="0.2">
      <c r="A1774" s="7" t="s">
        <v>226</v>
      </c>
      <c r="B1774">
        <v>72217</v>
      </c>
      <c r="C1774">
        <v>73</v>
      </c>
      <c r="D1774">
        <v>3</v>
      </c>
      <c r="E1774" s="7" t="s">
        <v>127</v>
      </c>
      <c r="F1774">
        <v>32</v>
      </c>
    </row>
    <row r="1775" spans="1:7" x14ac:dyDescent="0.2">
      <c r="A1775" s="7" t="s">
        <v>226</v>
      </c>
      <c r="B1775">
        <v>72217</v>
      </c>
      <c r="C1775">
        <v>74</v>
      </c>
      <c r="D1775">
        <v>3</v>
      </c>
      <c r="E1775" s="7" t="s">
        <v>127</v>
      </c>
      <c r="F1775">
        <v>64</v>
      </c>
    </row>
    <row r="1776" spans="1:7" x14ac:dyDescent="0.2">
      <c r="A1776" s="7" t="s">
        <v>226</v>
      </c>
      <c r="B1776">
        <v>72217</v>
      </c>
      <c r="C1776">
        <v>75</v>
      </c>
      <c r="D1776">
        <v>3</v>
      </c>
      <c r="E1776" s="7" t="s">
        <v>127</v>
      </c>
      <c r="F1776">
        <v>32</v>
      </c>
    </row>
    <row r="1777" spans="1:6" x14ac:dyDescent="0.2">
      <c r="A1777" s="7" t="s">
        <v>226</v>
      </c>
      <c r="B1777">
        <v>72217</v>
      </c>
      <c r="C1777">
        <v>76</v>
      </c>
      <c r="D1777">
        <v>3</v>
      </c>
      <c r="E1777" s="7" t="s">
        <v>127</v>
      </c>
      <c r="F1777">
        <v>11</v>
      </c>
    </row>
    <row r="1778" spans="1:6" x14ac:dyDescent="0.2">
      <c r="A1778" s="7" t="s">
        <v>226</v>
      </c>
      <c r="B1778">
        <v>72217</v>
      </c>
      <c r="C1778">
        <v>77</v>
      </c>
      <c r="D1778">
        <v>3</v>
      </c>
      <c r="E1778" s="7" t="s">
        <v>200</v>
      </c>
      <c r="F1778" s="7" t="s">
        <v>115</v>
      </c>
    </row>
    <row r="1779" spans="1:6" x14ac:dyDescent="0.2">
      <c r="A1779" s="7" t="s">
        <v>226</v>
      </c>
      <c r="B1779">
        <v>72217</v>
      </c>
      <c r="C1779">
        <v>78</v>
      </c>
      <c r="D1779">
        <v>3</v>
      </c>
      <c r="E1779" s="7" t="s">
        <v>200</v>
      </c>
      <c r="F1779" s="7">
        <v>11</v>
      </c>
    </row>
    <row r="1780" spans="1:6" x14ac:dyDescent="0.2">
      <c r="A1780" s="7" t="s">
        <v>226</v>
      </c>
      <c r="B1780">
        <v>72217</v>
      </c>
      <c r="C1780">
        <v>79</v>
      </c>
      <c r="D1780">
        <v>3</v>
      </c>
      <c r="E1780" s="7" t="s">
        <v>200</v>
      </c>
      <c r="F1780" s="7">
        <v>16</v>
      </c>
    </row>
    <row r="1781" spans="1:6" x14ac:dyDescent="0.2">
      <c r="A1781" s="7" t="s">
        <v>226</v>
      </c>
      <c r="B1781">
        <v>72217</v>
      </c>
      <c r="C1781">
        <v>80</v>
      </c>
      <c r="D1781">
        <v>3</v>
      </c>
      <c r="E1781" s="7" t="s">
        <v>200</v>
      </c>
      <c r="F1781" s="7">
        <v>45</v>
      </c>
    </row>
    <row r="1782" spans="1:6" x14ac:dyDescent="0.2">
      <c r="A1782" s="7" t="s">
        <v>226</v>
      </c>
      <c r="B1782">
        <v>72217</v>
      </c>
      <c r="C1782">
        <v>81</v>
      </c>
      <c r="D1782">
        <v>3</v>
      </c>
      <c r="E1782" s="7" t="s">
        <v>200</v>
      </c>
      <c r="F1782" s="7">
        <v>90</v>
      </c>
    </row>
    <row r="1783" spans="1:6" x14ac:dyDescent="0.2">
      <c r="A1783" s="7" t="s">
        <v>226</v>
      </c>
      <c r="B1783">
        <v>72217</v>
      </c>
      <c r="C1783">
        <v>82</v>
      </c>
      <c r="D1783">
        <v>3</v>
      </c>
      <c r="E1783" s="7" t="s">
        <v>200</v>
      </c>
      <c r="F1783" s="7" t="s">
        <v>115</v>
      </c>
    </row>
    <row r="1784" spans="1:6" x14ac:dyDescent="0.2">
      <c r="A1784" s="7" t="s">
        <v>226</v>
      </c>
      <c r="B1784">
        <v>72217</v>
      </c>
      <c r="C1784">
        <v>83</v>
      </c>
      <c r="D1784">
        <v>3</v>
      </c>
      <c r="E1784" s="7" t="s">
        <v>127</v>
      </c>
      <c r="F1784" s="7">
        <v>45</v>
      </c>
    </row>
    <row r="1785" spans="1:6" x14ac:dyDescent="0.2">
      <c r="A1785" s="7" t="s">
        <v>226</v>
      </c>
      <c r="B1785">
        <v>72217</v>
      </c>
      <c r="C1785">
        <v>84</v>
      </c>
      <c r="D1785">
        <v>3</v>
      </c>
      <c r="E1785" s="7" t="s">
        <v>127</v>
      </c>
      <c r="F1785" s="7">
        <v>90</v>
      </c>
    </row>
    <row r="1786" spans="1:6" x14ac:dyDescent="0.2">
      <c r="A1786" s="7" t="s">
        <v>226</v>
      </c>
      <c r="B1786">
        <v>72217</v>
      </c>
      <c r="C1786">
        <v>85</v>
      </c>
      <c r="D1786">
        <v>3</v>
      </c>
      <c r="E1786" s="7" t="s">
        <v>127</v>
      </c>
      <c r="F1786" s="7" t="s">
        <v>115</v>
      </c>
    </row>
    <row r="1787" spans="1:6" x14ac:dyDescent="0.2">
      <c r="A1787" s="7" t="s">
        <v>226</v>
      </c>
      <c r="B1787">
        <v>72217</v>
      </c>
      <c r="C1787">
        <v>86</v>
      </c>
      <c r="D1787">
        <v>3</v>
      </c>
      <c r="E1787" s="7" t="s">
        <v>127</v>
      </c>
      <c r="F1787" s="7">
        <v>90</v>
      </c>
    </row>
    <row r="1788" spans="1:6" x14ac:dyDescent="0.2">
      <c r="A1788" s="7" t="s">
        <v>226</v>
      </c>
      <c r="B1788">
        <v>72217</v>
      </c>
      <c r="C1788">
        <v>87</v>
      </c>
      <c r="D1788">
        <v>3</v>
      </c>
      <c r="E1788" s="7" t="s">
        <v>127</v>
      </c>
      <c r="F1788" s="7">
        <v>64</v>
      </c>
    </row>
    <row r="1789" spans="1:6" x14ac:dyDescent="0.2">
      <c r="A1789" s="7" t="s">
        <v>226</v>
      </c>
      <c r="B1789">
        <v>72217</v>
      </c>
      <c r="C1789">
        <v>88</v>
      </c>
      <c r="D1789">
        <v>3</v>
      </c>
      <c r="E1789" s="7" t="s">
        <v>127</v>
      </c>
      <c r="F1789" s="7" t="s">
        <v>115</v>
      </c>
    </row>
    <row r="1790" spans="1:6" x14ac:dyDescent="0.2">
      <c r="A1790" s="7" t="s">
        <v>226</v>
      </c>
      <c r="B1790">
        <v>72217</v>
      </c>
      <c r="C1790">
        <v>89</v>
      </c>
      <c r="D1790">
        <v>3</v>
      </c>
      <c r="E1790" s="7" t="s">
        <v>127</v>
      </c>
      <c r="F1790" s="7">
        <v>45</v>
      </c>
    </row>
    <row r="1791" spans="1:6" x14ac:dyDescent="0.2">
      <c r="A1791" s="7" t="s">
        <v>226</v>
      </c>
      <c r="B1791">
        <v>72217</v>
      </c>
      <c r="C1791">
        <v>90</v>
      </c>
      <c r="D1791">
        <v>3</v>
      </c>
      <c r="E1791" s="7" t="s">
        <v>127</v>
      </c>
      <c r="F1791" s="7">
        <v>45</v>
      </c>
    </row>
    <row r="1792" spans="1:6" x14ac:dyDescent="0.2">
      <c r="A1792" s="7" t="s">
        <v>226</v>
      </c>
      <c r="B1792">
        <v>72217</v>
      </c>
      <c r="C1792">
        <v>91</v>
      </c>
      <c r="D1792">
        <v>3</v>
      </c>
      <c r="E1792" s="7" t="s">
        <v>200</v>
      </c>
      <c r="F1792" s="7">
        <v>45</v>
      </c>
    </row>
    <row r="1793" spans="1:6" x14ac:dyDescent="0.2">
      <c r="A1793" s="7" t="s">
        <v>226</v>
      </c>
      <c r="B1793">
        <v>72217</v>
      </c>
      <c r="C1793">
        <v>92</v>
      </c>
      <c r="D1793">
        <v>3</v>
      </c>
      <c r="E1793" s="7" t="s">
        <v>200</v>
      </c>
      <c r="F1793" s="7" t="s">
        <v>115</v>
      </c>
    </row>
    <row r="1794" spans="1:6" x14ac:dyDescent="0.2">
      <c r="A1794" s="7" t="s">
        <v>226</v>
      </c>
      <c r="B1794">
        <v>72217</v>
      </c>
      <c r="C1794">
        <v>93</v>
      </c>
      <c r="D1794">
        <v>3</v>
      </c>
      <c r="E1794" s="7" t="s">
        <v>200</v>
      </c>
      <c r="F1794" s="7">
        <v>45</v>
      </c>
    </row>
    <row r="1795" spans="1:6" x14ac:dyDescent="0.2">
      <c r="A1795" s="7" t="s">
        <v>226</v>
      </c>
      <c r="B1795">
        <v>72217</v>
      </c>
      <c r="C1795">
        <v>94</v>
      </c>
      <c r="D1795">
        <v>4</v>
      </c>
      <c r="E1795" s="7" t="s">
        <v>200</v>
      </c>
      <c r="F1795" s="7">
        <v>22.6</v>
      </c>
    </row>
    <row r="1796" spans="1:6" x14ac:dyDescent="0.2">
      <c r="A1796" s="7" t="s">
        <v>226</v>
      </c>
      <c r="B1796">
        <v>72217</v>
      </c>
      <c r="C1796">
        <v>95</v>
      </c>
      <c r="D1796">
        <v>4</v>
      </c>
      <c r="E1796" s="7" t="s">
        <v>200</v>
      </c>
      <c r="F1796" s="7" t="s">
        <v>115</v>
      </c>
    </row>
    <row r="1797" spans="1:6" x14ac:dyDescent="0.2">
      <c r="A1797" s="7" t="s">
        <v>226</v>
      </c>
      <c r="B1797">
        <v>72217</v>
      </c>
      <c r="C1797">
        <v>96</v>
      </c>
      <c r="D1797">
        <v>4</v>
      </c>
      <c r="E1797" s="7" t="s">
        <v>127</v>
      </c>
      <c r="F1797" s="7">
        <v>32</v>
      </c>
    </row>
    <row r="1798" spans="1:6" x14ac:dyDescent="0.2">
      <c r="A1798" s="7" t="s">
        <v>226</v>
      </c>
      <c r="B1798">
        <v>72217</v>
      </c>
      <c r="C1798">
        <v>97</v>
      </c>
      <c r="D1798">
        <v>4</v>
      </c>
      <c r="E1798" s="7" t="s">
        <v>127</v>
      </c>
      <c r="F1798" s="7">
        <v>64</v>
      </c>
    </row>
    <row r="1799" spans="1:6" x14ac:dyDescent="0.2">
      <c r="A1799" s="7" t="s">
        <v>226</v>
      </c>
      <c r="B1799">
        <v>72217</v>
      </c>
      <c r="C1799">
        <v>98</v>
      </c>
      <c r="D1799">
        <v>4</v>
      </c>
      <c r="E1799" s="7" t="s">
        <v>127</v>
      </c>
      <c r="F1799" s="7">
        <v>90</v>
      </c>
    </row>
    <row r="1800" spans="1:6" x14ac:dyDescent="0.2">
      <c r="A1800" s="7" t="s">
        <v>226</v>
      </c>
      <c r="B1800">
        <v>72217</v>
      </c>
      <c r="C1800">
        <v>99</v>
      </c>
      <c r="D1800">
        <v>4</v>
      </c>
      <c r="E1800" s="7" t="s">
        <v>127</v>
      </c>
      <c r="F1800" s="7">
        <v>90</v>
      </c>
    </row>
    <row r="1801" spans="1:6" x14ac:dyDescent="0.2">
      <c r="A1801" s="7" t="s">
        <v>226</v>
      </c>
      <c r="B1801">
        <v>72217</v>
      </c>
      <c r="C1801">
        <v>100</v>
      </c>
      <c r="D1801">
        <v>4</v>
      </c>
      <c r="E1801" s="7" t="s">
        <v>127</v>
      </c>
      <c r="F1801" s="7">
        <v>45</v>
      </c>
    </row>
    <row r="1802" spans="1:6" x14ac:dyDescent="0.2">
      <c r="A1802" s="7" t="s">
        <v>227</v>
      </c>
      <c r="B1802">
        <v>72217</v>
      </c>
      <c r="C1802">
        <v>1</v>
      </c>
      <c r="D1802">
        <v>1</v>
      </c>
      <c r="E1802" s="7" t="s">
        <v>127</v>
      </c>
      <c r="F1802" s="7">
        <v>90</v>
      </c>
    </row>
    <row r="1803" spans="1:6" x14ac:dyDescent="0.2">
      <c r="A1803" s="7" t="s">
        <v>227</v>
      </c>
      <c r="B1803">
        <v>72217</v>
      </c>
      <c r="C1803">
        <v>2</v>
      </c>
      <c r="D1803">
        <v>1</v>
      </c>
      <c r="E1803" s="7" t="s">
        <v>127</v>
      </c>
      <c r="F1803" s="7">
        <v>64</v>
      </c>
    </row>
    <row r="1804" spans="1:6" x14ac:dyDescent="0.2">
      <c r="A1804" s="7" t="s">
        <v>227</v>
      </c>
      <c r="B1804">
        <v>72217</v>
      </c>
      <c r="C1804">
        <v>3</v>
      </c>
      <c r="D1804">
        <v>1</v>
      </c>
      <c r="E1804" s="7" t="s">
        <v>127</v>
      </c>
      <c r="F1804" s="7">
        <v>90</v>
      </c>
    </row>
    <row r="1805" spans="1:6" x14ac:dyDescent="0.2">
      <c r="A1805" s="7" t="s">
        <v>227</v>
      </c>
      <c r="B1805">
        <v>72217</v>
      </c>
      <c r="C1805">
        <v>4</v>
      </c>
      <c r="D1805">
        <v>1</v>
      </c>
      <c r="E1805" s="7" t="s">
        <v>127</v>
      </c>
      <c r="F1805" s="7">
        <v>128</v>
      </c>
    </row>
    <row r="1806" spans="1:6" x14ac:dyDescent="0.2">
      <c r="A1806" s="7" t="s">
        <v>227</v>
      </c>
      <c r="B1806">
        <v>72217</v>
      </c>
      <c r="C1806">
        <v>5</v>
      </c>
      <c r="D1806">
        <v>1</v>
      </c>
      <c r="E1806" s="7" t="s">
        <v>127</v>
      </c>
      <c r="F1806" s="7">
        <v>64</v>
      </c>
    </row>
    <row r="1807" spans="1:6" x14ac:dyDescent="0.2">
      <c r="A1807" s="7" t="s">
        <v>227</v>
      </c>
      <c r="B1807">
        <v>72217</v>
      </c>
      <c r="C1807">
        <v>6</v>
      </c>
      <c r="D1807">
        <v>1</v>
      </c>
      <c r="E1807" s="7" t="s">
        <v>127</v>
      </c>
      <c r="F1807" s="7">
        <v>22.6</v>
      </c>
    </row>
    <row r="1808" spans="1:6" x14ac:dyDescent="0.2">
      <c r="A1808" s="7" t="s">
        <v>227</v>
      </c>
      <c r="B1808">
        <v>72217</v>
      </c>
      <c r="C1808">
        <v>7</v>
      </c>
      <c r="D1808">
        <v>1</v>
      </c>
      <c r="E1808" s="7" t="s">
        <v>127</v>
      </c>
      <c r="F1808" s="7">
        <v>90</v>
      </c>
    </row>
    <row r="1809" spans="1:6" x14ac:dyDescent="0.2">
      <c r="A1809" s="7" t="s">
        <v>227</v>
      </c>
      <c r="B1809">
        <v>72217</v>
      </c>
      <c r="C1809">
        <v>8</v>
      </c>
      <c r="D1809">
        <v>1</v>
      </c>
      <c r="E1809" s="7" t="s">
        <v>127</v>
      </c>
      <c r="F1809" s="7">
        <v>180</v>
      </c>
    </row>
    <row r="1810" spans="1:6" x14ac:dyDescent="0.2">
      <c r="A1810" s="7" t="s">
        <v>227</v>
      </c>
      <c r="B1810">
        <v>72217</v>
      </c>
      <c r="C1810">
        <v>9</v>
      </c>
      <c r="D1810">
        <v>1</v>
      </c>
      <c r="E1810" s="7" t="s">
        <v>127</v>
      </c>
      <c r="F1810" s="7">
        <v>32</v>
      </c>
    </row>
    <row r="1811" spans="1:6" x14ac:dyDescent="0.2">
      <c r="A1811" s="7" t="s">
        <v>227</v>
      </c>
      <c r="B1811">
        <v>72217</v>
      </c>
      <c r="C1811">
        <v>10</v>
      </c>
      <c r="D1811">
        <v>1</v>
      </c>
      <c r="E1811" s="7" t="s">
        <v>127</v>
      </c>
      <c r="F1811" s="7">
        <v>90</v>
      </c>
    </row>
    <row r="1812" spans="1:6" x14ac:dyDescent="0.2">
      <c r="A1812" s="7" t="s">
        <v>227</v>
      </c>
      <c r="B1812">
        <v>72217</v>
      </c>
      <c r="C1812">
        <v>11</v>
      </c>
      <c r="D1812">
        <v>1</v>
      </c>
      <c r="E1812" s="7" t="s">
        <v>127</v>
      </c>
      <c r="F1812" s="7">
        <v>64</v>
      </c>
    </row>
    <row r="1813" spans="1:6" x14ac:dyDescent="0.2">
      <c r="A1813" s="7" t="s">
        <v>227</v>
      </c>
      <c r="B1813">
        <v>72217</v>
      </c>
      <c r="C1813">
        <v>12</v>
      </c>
      <c r="D1813">
        <v>1</v>
      </c>
      <c r="E1813" s="7" t="s">
        <v>127</v>
      </c>
      <c r="F1813" s="7">
        <v>64</v>
      </c>
    </row>
    <row r="1814" spans="1:6" x14ac:dyDescent="0.2">
      <c r="A1814" s="7" t="s">
        <v>227</v>
      </c>
      <c r="B1814">
        <v>72217</v>
      </c>
      <c r="C1814">
        <v>13</v>
      </c>
      <c r="D1814">
        <v>1</v>
      </c>
      <c r="E1814" s="7" t="s">
        <v>127</v>
      </c>
      <c r="F1814" s="7">
        <v>45</v>
      </c>
    </row>
    <row r="1815" spans="1:6" x14ac:dyDescent="0.2">
      <c r="A1815" s="7" t="s">
        <v>227</v>
      </c>
      <c r="B1815">
        <v>72217</v>
      </c>
      <c r="C1815">
        <v>14</v>
      </c>
      <c r="D1815">
        <v>1</v>
      </c>
      <c r="E1815" s="7" t="s">
        <v>127</v>
      </c>
      <c r="F1815" s="7">
        <v>5</v>
      </c>
    </row>
    <row r="1816" spans="1:6" x14ac:dyDescent="0.2">
      <c r="A1816" s="7" t="s">
        <v>227</v>
      </c>
      <c r="B1816">
        <v>72217</v>
      </c>
      <c r="C1816">
        <v>15</v>
      </c>
      <c r="D1816">
        <v>1</v>
      </c>
      <c r="E1816" s="7" t="s">
        <v>127</v>
      </c>
      <c r="F1816" s="7">
        <v>128</v>
      </c>
    </row>
    <row r="1817" spans="1:6" x14ac:dyDescent="0.2">
      <c r="A1817" s="7" t="s">
        <v>227</v>
      </c>
      <c r="B1817">
        <v>72217</v>
      </c>
      <c r="C1817">
        <v>16</v>
      </c>
      <c r="D1817">
        <v>1</v>
      </c>
      <c r="E1817" s="7" t="s">
        <v>127</v>
      </c>
      <c r="F1817" s="7">
        <v>128</v>
      </c>
    </row>
    <row r="1818" spans="1:6" x14ac:dyDescent="0.2">
      <c r="A1818" s="7" t="s">
        <v>227</v>
      </c>
      <c r="B1818">
        <v>72217</v>
      </c>
      <c r="C1818">
        <v>17</v>
      </c>
      <c r="D1818">
        <v>1</v>
      </c>
      <c r="E1818" s="7" t="s">
        <v>127</v>
      </c>
      <c r="F1818" s="7">
        <v>128</v>
      </c>
    </row>
    <row r="1819" spans="1:6" x14ac:dyDescent="0.2">
      <c r="A1819" s="7" t="s">
        <v>227</v>
      </c>
      <c r="B1819">
        <v>72217</v>
      </c>
      <c r="C1819">
        <v>18</v>
      </c>
      <c r="D1819">
        <v>1</v>
      </c>
      <c r="E1819" s="7" t="s">
        <v>127</v>
      </c>
      <c r="F1819" s="7">
        <v>180</v>
      </c>
    </row>
    <row r="1820" spans="1:6" x14ac:dyDescent="0.2">
      <c r="A1820" s="7" t="s">
        <v>227</v>
      </c>
      <c r="B1820">
        <v>72217</v>
      </c>
      <c r="C1820">
        <v>19</v>
      </c>
      <c r="D1820">
        <v>1</v>
      </c>
      <c r="E1820" s="7" t="s">
        <v>127</v>
      </c>
      <c r="F1820" s="7">
        <v>45</v>
      </c>
    </row>
    <row r="1821" spans="1:6" x14ac:dyDescent="0.2">
      <c r="A1821" s="7" t="s">
        <v>227</v>
      </c>
      <c r="B1821">
        <v>72217</v>
      </c>
      <c r="C1821">
        <v>20</v>
      </c>
      <c r="D1821">
        <v>1</v>
      </c>
      <c r="E1821" s="7" t="s">
        <v>127</v>
      </c>
      <c r="F1821" s="7">
        <v>180</v>
      </c>
    </row>
    <row r="1822" spans="1:6" x14ac:dyDescent="0.2">
      <c r="A1822" s="7" t="s">
        <v>227</v>
      </c>
      <c r="B1822">
        <v>72217</v>
      </c>
      <c r="C1822">
        <v>21</v>
      </c>
      <c r="D1822">
        <v>1</v>
      </c>
      <c r="E1822" s="7" t="s">
        <v>127</v>
      </c>
      <c r="F1822" s="7">
        <v>64</v>
      </c>
    </row>
    <row r="1823" spans="1:6" x14ac:dyDescent="0.2">
      <c r="A1823" s="7" t="s">
        <v>227</v>
      </c>
      <c r="B1823">
        <v>72217</v>
      </c>
      <c r="C1823">
        <v>22</v>
      </c>
      <c r="D1823">
        <v>1</v>
      </c>
      <c r="E1823" s="7" t="s">
        <v>127</v>
      </c>
      <c r="F1823" s="7">
        <v>180</v>
      </c>
    </row>
    <row r="1824" spans="1:6" x14ac:dyDescent="0.2">
      <c r="A1824" s="7" t="s">
        <v>227</v>
      </c>
      <c r="B1824">
        <v>72217</v>
      </c>
      <c r="C1824">
        <v>23</v>
      </c>
      <c r="D1824">
        <v>1</v>
      </c>
      <c r="E1824" s="7" t="s">
        <v>127</v>
      </c>
      <c r="F1824" s="7">
        <v>64</v>
      </c>
    </row>
    <row r="1825" spans="1:6" x14ac:dyDescent="0.2">
      <c r="A1825" s="7" t="s">
        <v>227</v>
      </c>
      <c r="B1825">
        <v>72217</v>
      </c>
      <c r="C1825">
        <v>24</v>
      </c>
      <c r="D1825">
        <v>1</v>
      </c>
      <c r="E1825" s="7" t="s">
        <v>127</v>
      </c>
      <c r="F1825" s="7">
        <v>45</v>
      </c>
    </row>
    <row r="1826" spans="1:6" x14ac:dyDescent="0.2">
      <c r="A1826" s="7" t="s">
        <v>227</v>
      </c>
      <c r="B1826">
        <v>72217</v>
      </c>
      <c r="C1826">
        <v>25</v>
      </c>
      <c r="D1826">
        <v>1</v>
      </c>
      <c r="E1826" s="7" t="s">
        <v>127</v>
      </c>
      <c r="F1826" s="7">
        <v>128</v>
      </c>
    </row>
    <row r="1827" spans="1:6" x14ac:dyDescent="0.2">
      <c r="A1827" s="7" t="s">
        <v>227</v>
      </c>
      <c r="B1827">
        <v>72217</v>
      </c>
      <c r="C1827">
        <v>26</v>
      </c>
      <c r="D1827">
        <v>1</v>
      </c>
      <c r="E1827" s="7" t="s">
        <v>127</v>
      </c>
      <c r="F1827" s="7">
        <v>32</v>
      </c>
    </row>
    <row r="1828" spans="1:6" x14ac:dyDescent="0.2">
      <c r="A1828" s="7" t="s">
        <v>227</v>
      </c>
      <c r="B1828">
        <v>72217</v>
      </c>
      <c r="C1828">
        <v>27</v>
      </c>
      <c r="D1828">
        <v>1</v>
      </c>
      <c r="E1828" s="7" t="s">
        <v>127</v>
      </c>
      <c r="F1828" s="7">
        <v>22.6</v>
      </c>
    </row>
    <row r="1829" spans="1:6" x14ac:dyDescent="0.2">
      <c r="A1829" s="7" t="s">
        <v>227</v>
      </c>
      <c r="B1829">
        <v>72217</v>
      </c>
      <c r="C1829">
        <v>28</v>
      </c>
      <c r="D1829">
        <v>1</v>
      </c>
      <c r="E1829" s="7" t="s">
        <v>127</v>
      </c>
      <c r="F1829" s="7">
        <v>45</v>
      </c>
    </row>
    <row r="1830" spans="1:6" x14ac:dyDescent="0.2">
      <c r="A1830" s="7" t="s">
        <v>227</v>
      </c>
      <c r="B1830">
        <v>72217</v>
      </c>
      <c r="C1830">
        <v>29</v>
      </c>
      <c r="D1830">
        <v>1</v>
      </c>
      <c r="E1830" s="7" t="s">
        <v>127</v>
      </c>
      <c r="F1830" s="7">
        <v>128</v>
      </c>
    </row>
    <row r="1831" spans="1:6" x14ac:dyDescent="0.2">
      <c r="A1831" s="7" t="s">
        <v>227</v>
      </c>
      <c r="B1831">
        <v>72217</v>
      </c>
      <c r="C1831">
        <v>30</v>
      </c>
      <c r="D1831">
        <v>1</v>
      </c>
      <c r="E1831" s="7" t="s">
        <v>127</v>
      </c>
      <c r="F1831" s="7">
        <v>180</v>
      </c>
    </row>
    <row r="1832" spans="1:6" x14ac:dyDescent="0.2">
      <c r="A1832" s="7" t="s">
        <v>227</v>
      </c>
      <c r="B1832">
        <v>72217</v>
      </c>
      <c r="C1832">
        <v>31</v>
      </c>
      <c r="D1832">
        <v>1</v>
      </c>
      <c r="E1832" s="7" t="s">
        <v>127</v>
      </c>
      <c r="F1832" s="7">
        <v>180</v>
      </c>
    </row>
    <row r="1833" spans="1:6" x14ac:dyDescent="0.2">
      <c r="A1833" s="7" t="s">
        <v>227</v>
      </c>
      <c r="B1833">
        <v>72217</v>
      </c>
      <c r="C1833">
        <v>32</v>
      </c>
      <c r="D1833">
        <v>1</v>
      </c>
      <c r="E1833" s="7" t="s">
        <v>127</v>
      </c>
      <c r="F1833" s="7">
        <v>8</v>
      </c>
    </row>
    <row r="1834" spans="1:6" x14ac:dyDescent="0.2">
      <c r="A1834" s="7" t="s">
        <v>227</v>
      </c>
      <c r="B1834">
        <v>72217</v>
      </c>
      <c r="C1834">
        <v>33</v>
      </c>
      <c r="D1834">
        <v>1</v>
      </c>
      <c r="E1834" s="7" t="s">
        <v>127</v>
      </c>
      <c r="F1834" s="7">
        <v>11</v>
      </c>
    </row>
    <row r="1835" spans="1:6" x14ac:dyDescent="0.2">
      <c r="A1835" s="7" t="s">
        <v>227</v>
      </c>
      <c r="B1835">
        <v>72217</v>
      </c>
      <c r="C1835">
        <v>34</v>
      </c>
      <c r="D1835">
        <v>1</v>
      </c>
      <c r="E1835" s="7" t="s">
        <v>127</v>
      </c>
      <c r="F1835" s="7">
        <v>180</v>
      </c>
    </row>
    <row r="1836" spans="1:6" x14ac:dyDescent="0.2">
      <c r="A1836" s="7" t="s">
        <v>227</v>
      </c>
      <c r="B1836">
        <v>72217</v>
      </c>
      <c r="C1836">
        <v>35</v>
      </c>
      <c r="D1836">
        <v>1</v>
      </c>
      <c r="E1836" s="7" t="s">
        <v>127</v>
      </c>
      <c r="F1836" s="7">
        <v>180</v>
      </c>
    </row>
    <row r="1837" spans="1:6" x14ac:dyDescent="0.2">
      <c r="A1837" s="7" t="s">
        <v>227</v>
      </c>
      <c r="B1837">
        <v>72217</v>
      </c>
      <c r="C1837">
        <v>36</v>
      </c>
      <c r="D1837">
        <v>1</v>
      </c>
      <c r="E1837" s="7" t="s">
        <v>127</v>
      </c>
      <c r="F1837" s="7">
        <v>180</v>
      </c>
    </row>
    <row r="1838" spans="1:6" x14ac:dyDescent="0.2">
      <c r="A1838" s="7" t="s">
        <v>227</v>
      </c>
      <c r="B1838">
        <v>72217</v>
      </c>
      <c r="C1838">
        <v>37</v>
      </c>
      <c r="D1838">
        <v>2</v>
      </c>
      <c r="E1838" s="7" t="s">
        <v>127</v>
      </c>
      <c r="F1838" s="7">
        <v>22.6</v>
      </c>
    </row>
    <row r="1839" spans="1:6" x14ac:dyDescent="0.2">
      <c r="A1839" s="7" t="s">
        <v>227</v>
      </c>
      <c r="B1839">
        <v>72217</v>
      </c>
      <c r="C1839">
        <v>38</v>
      </c>
      <c r="D1839">
        <v>2</v>
      </c>
      <c r="E1839" s="7" t="s">
        <v>127</v>
      </c>
      <c r="F1839" s="7">
        <v>180</v>
      </c>
    </row>
    <row r="1840" spans="1:6" x14ac:dyDescent="0.2">
      <c r="A1840" s="7" t="s">
        <v>227</v>
      </c>
      <c r="B1840">
        <v>72217</v>
      </c>
      <c r="C1840">
        <v>39</v>
      </c>
      <c r="D1840">
        <v>2</v>
      </c>
      <c r="E1840" s="7" t="s">
        <v>127</v>
      </c>
      <c r="F1840" s="7">
        <v>5.6</v>
      </c>
    </row>
    <row r="1841" spans="1:6" x14ac:dyDescent="0.2">
      <c r="A1841" s="7" t="s">
        <v>227</v>
      </c>
      <c r="B1841">
        <v>72217</v>
      </c>
      <c r="C1841">
        <v>40</v>
      </c>
      <c r="D1841">
        <v>2</v>
      </c>
      <c r="E1841" s="7" t="s">
        <v>127</v>
      </c>
      <c r="F1841" s="7">
        <v>180</v>
      </c>
    </row>
    <row r="1842" spans="1:6" x14ac:dyDescent="0.2">
      <c r="A1842" s="7" t="s">
        <v>227</v>
      </c>
      <c r="B1842">
        <v>72217</v>
      </c>
      <c r="C1842">
        <v>41</v>
      </c>
      <c r="D1842">
        <v>2</v>
      </c>
      <c r="E1842" s="7" t="s">
        <v>127</v>
      </c>
      <c r="F1842" s="7">
        <v>8</v>
      </c>
    </row>
    <row r="1843" spans="1:6" x14ac:dyDescent="0.2">
      <c r="A1843" s="7" t="s">
        <v>227</v>
      </c>
      <c r="B1843">
        <v>72217</v>
      </c>
      <c r="C1843">
        <v>42</v>
      </c>
      <c r="D1843">
        <v>2</v>
      </c>
      <c r="E1843" s="7" t="s">
        <v>127</v>
      </c>
      <c r="F1843" s="7">
        <v>2.8</v>
      </c>
    </row>
    <row r="1844" spans="1:6" x14ac:dyDescent="0.2">
      <c r="A1844" s="7" t="s">
        <v>227</v>
      </c>
      <c r="B1844">
        <v>72217</v>
      </c>
      <c r="C1844">
        <v>43</v>
      </c>
      <c r="E1844" s="7" t="s">
        <v>127</v>
      </c>
      <c r="F1844" s="7">
        <v>32</v>
      </c>
    </row>
    <row r="1845" spans="1:6" x14ac:dyDescent="0.2">
      <c r="A1845" s="7" t="s">
        <v>227</v>
      </c>
      <c r="B1845">
        <v>72217</v>
      </c>
      <c r="C1845">
        <v>44</v>
      </c>
      <c r="E1845" s="7" t="s">
        <v>127</v>
      </c>
      <c r="F1845" s="7">
        <v>32</v>
      </c>
    </row>
    <row r="1846" spans="1:6" x14ac:dyDescent="0.2">
      <c r="A1846" s="7" t="s">
        <v>227</v>
      </c>
      <c r="B1846">
        <v>72217</v>
      </c>
      <c r="C1846">
        <v>45</v>
      </c>
      <c r="E1846" s="7" t="s">
        <v>127</v>
      </c>
      <c r="F1846" s="7">
        <v>45</v>
      </c>
    </row>
    <row r="1847" spans="1:6" x14ac:dyDescent="0.2">
      <c r="A1847" s="7" t="s">
        <v>227</v>
      </c>
      <c r="B1847">
        <v>72217</v>
      </c>
      <c r="C1847">
        <v>46</v>
      </c>
      <c r="E1847" s="7" t="s">
        <v>127</v>
      </c>
      <c r="F1847" s="7">
        <v>180</v>
      </c>
    </row>
    <row r="1848" spans="1:6" x14ac:dyDescent="0.2">
      <c r="A1848" s="7" t="s">
        <v>227</v>
      </c>
      <c r="B1848">
        <v>72217</v>
      </c>
      <c r="C1848">
        <v>47</v>
      </c>
      <c r="E1848" s="7" t="s">
        <v>127</v>
      </c>
      <c r="F1848" s="7">
        <v>90</v>
      </c>
    </row>
    <row r="1849" spans="1:6" x14ac:dyDescent="0.2">
      <c r="A1849" s="7" t="s">
        <v>227</v>
      </c>
      <c r="B1849">
        <v>72217</v>
      </c>
      <c r="C1849">
        <v>48</v>
      </c>
      <c r="E1849" s="7" t="s">
        <v>127</v>
      </c>
      <c r="F1849" s="7">
        <v>128</v>
      </c>
    </row>
    <row r="1850" spans="1:6" x14ac:dyDescent="0.2">
      <c r="A1850" s="7" t="s">
        <v>227</v>
      </c>
      <c r="B1850">
        <v>72217</v>
      </c>
      <c r="C1850">
        <v>49</v>
      </c>
      <c r="E1850" s="7" t="s">
        <v>127</v>
      </c>
      <c r="F1850" s="7">
        <v>128</v>
      </c>
    </row>
    <row r="1851" spans="1:6" x14ac:dyDescent="0.2">
      <c r="A1851" s="7" t="s">
        <v>227</v>
      </c>
      <c r="B1851">
        <v>72217</v>
      </c>
      <c r="C1851">
        <v>50</v>
      </c>
      <c r="E1851" s="7" t="s">
        <v>127</v>
      </c>
      <c r="F1851" s="7">
        <v>90</v>
      </c>
    </row>
    <row r="1852" spans="1:6" x14ac:dyDescent="0.2">
      <c r="A1852" s="7" t="s">
        <v>227</v>
      </c>
      <c r="B1852">
        <v>72217</v>
      </c>
      <c r="C1852">
        <v>51</v>
      </c>
      <c r="E1852" s="7" t="s">
        <v>127</v>
      </c>
      <c r="F1852" s="7">
        <v>180</v>
      </c>
    </row>
    <row r="1853" spans="1:6" x14ac:dyDescent="0.2">
      <c r="A1853" s="7" t="s">
        <v>227</v>
      </c>
      <c r="B1853">
        <v>72217</v>
      </c>
      <c r="C1853">
        <v>52</v>
      </c>
      <c r="E1853" s="7" t="s">
        <v>127</v>
      </c>
      <c r="F1853" s="7">
        <v>180</v>
      </c>
    </row>
    <row r="1854" spans="1:6" x14ac:dyDescent="0.2">
      <c r="A1854" s="7" t="s">
        <v>227</v>
      </c>
      <c r="B1854">
        <v>72217</v>
      </c>
      <c r="C1854">
        <v>53</v>
      </c>
      <c r="E1854" s="7" t="s">
        <v>127</v>
      </c>
      <c r="F1854" s="7">
        <v>90</v>
      </c>
    </row>
    <row r="1855" spans="1:6" x14ac:dyDescent="0.2">
      <c r="A1855" s="7" t="s">
        <v>227</v>
      </c>
      <c r="B1855">
        <v>72217</v>
      </c>
      <c r="C1855">
        <v>54</v>
      </c>
      <c r="E1855" s="7" t="s">
        <v>127</v>
      </c>
      <c r="F1855" s="7">
        <v>64</v>
      </c>
    </row>
    <row r="1856" spans="1:6" x14ac:dyDescent="0.2">
      <c r="A1856" s="7" t="s">
        <v>227</v>
      </c>
      <c r="B1856">
        <v>72217</v>
      </c>
      <c r="C1856">
        <v>55</v>
      </c>
      <c r="E1856" s="7" t="s">
        <v>127</v>
      </c>
      <c r="F1856" s="7">
        <v>22.6</v>
      </c>
    </row>
    <row r="1857" spans="1:6" x14ac:dyDescent="0.2">
      <c r="A1857" s="7" t="s">
        <v>227</v>
      </c>
      <c r="B1857">
        <v>72217</v>
      </c>
      <c r="C1857">
        <v>56</v>
      </c>
      <c r="E1857" s="7" t="s">
        <v>127</v>
      </c>
      <c r="F1857" s="7">
        <v>90</v>
      </c>
    </row>
    <row r="1858" spans="1:6" x14ac:dyDescent="0.2">
      <c r="A1858" s="7" t="s">
        <v>227</v>
      </c>
      <c r="B1858">
        <v>72217</v>
      </c>
      <c r="C1858">
        <v>57</v>
      </c>
      <c r="E1858" s="7" t="s">
        <v>127</v>
      </c>
      <c r="F1858" s="7">
        <v>45</v>
      </c>
    </row>
    <row r="1859" spans="1:6" x14ac:dyDescent="0.2">
      <c r="A1859" s="7" t="s">
        <v>227</v>
      </c>
      <c r="B1859">
        <v>72217</v>
      </c>
      <c r="C1859">
        <v>58</v>
      </c>
      <c r="E1859" s="7" t="s">
        <v>127</v>
      </c>
      <c r="F1859" s="7">
        <v>180</v>
      </c>
    </row>
    <row r="1860" spans="1:6" x14ac:dyDescent="0.2">
      <c r="A1860" s="7" t="s">
        <v>227</v>
      </c>
      <c r="B1860">
        <v>72217</v>
      </c>
      <c r="C1860">
        <v>59</v>
      </c>
      <c r="E1860" s="7" t="s">
        <v>127</v>
      </c>
      <c r="F1860" s="7">
        <v>45</v>
      </c>
    </row>
    <row r="1861" spans="1:6" x14ac:dyDescent="0.2">
      <c r="A1861" s="7" t="s">
        <v>227</v>
      </c>
      <c r="B1861">
        <v>72217</v>
      </c>
      <c r="C1861">
        <v>60</v>
      </c>
      <c r="E1861" s="7" t="s">
        <v>127</v>
      </c>
      <c r="F1861" s="7">
        <v>32</v>
      </c>
    </row>
    <row r="1862" spans="1:6" x14ac:dyDescent="0.2">
      <c r="A1862" s="7" t="s">
        <v>227</v>
      </c>
      <c r="B1862">
        <v>72217</v>
      </c>
      <c r="C1862">
        <v>61</v>
      </c>
      <c r="E1862" s="7" t="s">
        <v>127</v>
      </c>
      <c r="F1862" s="7">
        <v>128</v>
      </c>
    </row>
    <row r="1863" spans="1:6" x14ac:dyDescent="0.2">
      <c r="A1863" s="7" t="s">
        <v>227</v>
      </c>
      <c r="B1863">
        <v>72217</v>
      </c>
      <c r="C1863">
        <v>62</v>
      </c>
      <c r="E1863" s="7" t="s">
        <v>127</v>
      </c>
      <c r="F1863" s="7">
        <v>64</v>
      </c>
    </row>
    <row r="1864" spans="1:6" x14ac:dyDescent="0.2">
      <c r="A1864" s="7" t="s">
        <v>227</v>
      </c>
      <c r="B1864">
        <v>72217</v>
      </c>
      <c r="C1864">
        <v>63</v>
      </c>
      <c r="E1864" s="7" t="s">
        <v>127</v>
      </c>
      <c r="F1864" s="7">
        <v>45</v>
      </c>
    </row>
    <row r="1865" spans="1:6" x14ac:dyDescent="0.2">
      <c r="A1865" s="7" t="s">
        <v>227</v>
      </c>
      <c r="B1865">
        <v>72217</v>
      </c>
      <c r="C1865">
        <v>64</v>
      </c>
      <c r="E1865" s="7" t="s">
        <v>127</v>
      </c>
      <c r="F1865" s="7">
        <v>90</v>
      </c>
    </row>
    <row r="1866" spans="1:6" x14ac:dyDescent="0.2">
      <c r="A1866" s="7" t="s">
        <v>227</v>
      </c>
      <c r="B1866">
        <v>72217</v>
      </c>
      <c r="C1866">
        <v>65</v>
      </c>
      <c r="E1866" s="7" t="s">
        <v>127</v>
      </c>
      <c r="F1866" s="7">
        <v>180</v>
      </c>
    </row>
    <row r="1867" spans="1:6" x14ac:dyDescent="0.2">
      <c r="A1867" s="7" t="s">
        <v>227</v>
      </c>
      <c r="B1867">
        <v>72217</v>
      </c>
      <c r="C1867">
        <v>66</v>
      </c>
      <c r="E1867" s="7" t="s">
        <v>127</v>
      </c>
      <c r="F1867" s="7">
        <v>64</v>
      </c>
    </row>
    <row r="1868" spans="1:6" x14ac:dyDescent="0.2">
      <c r="A1868" s="7" t="s">
        <v>227</v>
      </c>
      <c r="B1868">
        <v>72217</v>
      </c>
      <c r="C1868">
        <v>67</v>
      </c>
      <c r="E1868" s="7" t="s">
        <v>127</v>
      </c>
      <c r="F1868" s="7">
        <v>64</v>
      </c>
    </row>
    <row r="1869" spans="1:6" x14ac:dyDescent="0.2">
      <c r="A1869" s="7" t="s">
        <v>227</v>
      </c>
      <c r="B1869">
        <v>72217</v>
      </c>
      <c r="C1869">
        <v>68</v>
      </c>
      <c r="E1869" s="7" t="s">
        <v>127</v>
      </c>
      <c r="F1869" s="7">
        <v>45</v>
      </c>
    </row>
    <row r="1870" spans="1:6" x14ac:dyDescent="0.2">
      <c r="A1870" s="7" t="s">
        <v>227</v>
      </c>
      <c r="B1870">
        <v>72217</v>
      </c>
      <c r="C1870">
        <v>69</v>
      </c>
      <c r="E1870" s="7" t="s">
        <v>127</v>
      </c>
      <c r="F1870" s="7">
        <v>45</v>
      </c>
    </row>
    <row r="1871" spans="1:6" x14ac:dyDescent="0.2">
      <c r="A1871" s="7" t="s">
        <v>227</v>
      </c>
      <c r="B1871">
        <v>72217</v>
      </c>
      <c r="C1871">
        <v>70</v>
      </c>
      <c r="E1871" s="7" t="s">
        <v>127</v>
      </c>
      <c r="F1871" s="7">
        <v>180</v>
      </c>
    </row>
    <row r="1872" spans="1:6" x14ac:dyDescent="0.2">
      <c r="A1872" s="7" t="s">
        <v>227</v>
      </c>
      <c r="B1872">
        <v>72217</v>
      </c>
      <c r="C1872">
        <v>71</v>
      </c>
      <c r="E1872" s="7" t="s">
        <v>127</v>
      </c>
      <c r="F1872" s="7">
        <v>180</v>
      </c>
    </row>
    <row r="1873" spans="1:6" x14ac:dyDescent="0.2">
      <c r="A1873" s="7" t="s">
        <v>227</v>
      </c>
      <c r="B1873">
        <v>72217</v>
      </c>
      <c r="C1873">
        <v>72</v>
      </c>
      <c r="E1873" s="7" t="s">
        <v>127</v>
      </c>
      <c r="F1873" s="7">
        <v>180</v>
      </c>
    </row>
    <row r="1874" spans="1:6" x14ac:dyDescent="0.2">
      <c r="A1874" s="7" t="s">
        <v>227</v>
      </c>
      <c r="B1874">
        <v>72217</v>
      </c>
      <c r="C1874">
        <v>73</v>
      </c>
      <c r="E1874" s="7" t="s">
        <v>127</v>
      </c>
      <c r="F1874" s="7">
        <v>180</v>
      </c>
    </row>
    <row r="1875" spans="1:6" x14ac:dyDescent="0.2">
      <c r="A1875" s="7" t="s">
        <v>227</v>
      </c>
      <c r="B1875">
        <v>72217</v>
      </c>
      <c r="C1875">
        <v>74</v>
      </c>
      <c r="E1875" s="7" t="s">
        <v>127</v>
      </c>
      <c r="F1875" s="7">
        <v>90</v>
      </c>
    </row>
    <row r="1876" spans="1:6" x14ac:dyDescent="0.2">
      <c r="A1876" s="7" t="s">
        <v>227</v>
      </c>
      <c r="B1876">
        <v>72217</v>
      </c>
      <c r="C1876">
        <v>75</v>
      </c>
      <c r="E1876" s="7" t="s">
        <v>127</v>
      </c>
      <c r="F1876" s="7">
        <v>90</v>
      </c>
    </row>
    <row r="1877" spans="1:6" x14ac:dyDescent="0.2">
      <c r="A1877" s="7" t="s">
        <v>227</v>
      </c>
      <c r="B1877">
        <v>72217</v>
      </c>
      <c r="C1877">
        <v>76</v>
      </c>
      <c r="E1877" s="7" t="s">
        <v>127</v>
      </c>
      <c r="F1877" s="7">
        <v>45</v>
      </c>
    </row>
    <row r="1878" spans="1:6" x14ac:dyDescent="0.2">
      <c r="A1878" s="7" t="s">
        <v>227</v>
      </c>
      <c r="B1878">
        <v>72217</v>
      </c>
      <c r="C1878">
        <v>77</v>
      </c>
      <c r="E1878" s="7" t="s">
        <v>127</v>
      </c>
      <c r="F1878" s="7">
        <v>64</v>
      </c>
    </row>
    <row r="1879" spans="1:6" x14ac:dyDescent="0.2">
      <c r="A1879" s="7" t="s">
        <v>227</v>
      </c>
      <c r="B1879">
        <v>72217</v>
      </c>
      <c r="C1879">
        <v>78</v>
      </c>
      <c r="E1879" s="7" t="s">
        <v>127</v>
      </c>
      <c r="F1879" s="7">
        <v>90</v>
      </c>
    </row>
    <row r="1880" spans="1:6" x14ac:dyDescent="0.2">
      <c r="A1880" s="7" t="s">
        <v>227</v>
      </c>
      <c r="B1880">
        <v>72217</v>
      </c>
      <c r="C1880">
        <v>79</v>
      </c>
      <c r="E1880" s="7" t="s">
        <v>127</v>
      </c>
      <c r="F1880" s="7">
        <v>90</v>
      </c>
    </row>
    <row r="1881" spans="1:6" x14ac:dyDescent="0.2">
      <c r="A1881" s="7" t="s">
        <v>227</v>
      </c>
      <c r="B1881">
        <v>72217</v>
      </c>
      <c r="C1881">
        <v>80</v>
      </c>
      <c r="E1881" s="7" t="s">
        <v>127</v>
      </c>
      <c r="F1881" s="7">
        <v>22.6</v>
      </c>
    </row>
    <row r="1882" spans="1:6" x14ac:dyDescent="0.2">
      <c r="A1882" s="7" t="s">
        <v>227</v>
      </c>
      <c r="B1882">
        <v>72217</v>
      </c>
      <c r="C1882">
        <v>81</v>
      </c>
      <c r="E1882" s="7" t="s">
        <v>127</v>
      </c>
      <c r="F1882" s="7">
        <v>128</v>
      </c>
    </row>
    <row r="1883" spans="1:6" x14ac:dyDescent="0.2">
      <c r="A1883" s="7" t="s">
        <v>227</v>
      </c>
      <c r="B1883">
        <v>72217</v>
      </c>
      <c r="C1883">
        <v>82</v>
      </c>
      <c r="E1883" s="7" t="s">
        <v>127</v>
      </c>
      <c r="F1883" s="7">
        <v>90</v>
      </c>
    </row>
    <row r="1884" spans="1:6" x14ac:dyDescent="0.2">
      <c r="A1884" s="7" t="s">
        <v>227</v>
      </c>
      <c r="B1884">
        <v>72217</v>
      </c>
      <c r="C1884">
        <v>83</v>
      </c>
      <c r="E1884" s="7" t="s">
        <v>127</v>
      </c>
      <c r="F1884" s="7">
        <v>64</v>
      </c>
    </row>
    <row r="1885" spans="1:6" x14ac:dyDescent="0.2">
      <c r="A1885" s="7" t="s">
        <v>227</v>
      </c>
      <c r="B1885">
        <v>72217</v>
      </c>
      <c r="C1885">
        <v>84</v>
      </c>
      <c r="E1885" s="7" t="s">
        <v>127</v>
      </c>
      <c r="F1885" s="7">
        <v>180</v>
      </c>
    </row>
    <row r="1886" spans="1:6" x14ac:dyDescent="0.2">
      <c r="A1886" s="7" t="s">
        <v>227</v>
      </c>
      <c r="B1886">
        <v>72217</v>
      </c>
      <c r="C1886">
        <v>85</v>
      </c>
      <c r="E1886" s="7" t="s">
        <v>127</v>
      </c>
      <c r="F1886" s="7">
        <v>90</v>
      </c>
    </row>
    <row r="1887" spans="1:6" x14ac:dyDescent="0.2">
      <c r="A1887" s="7" t="s">
        <v>227</v>
      </c>
      <c r="B1887">
        <v>72217</v>
      </c>
      <c r="C1887">
        <v>86</v>
      </c>
      <c r="E1887" s="7" t="s">
        <v>127</v>
      </c>
      <c r="F1887" s="7">
        <v>180</v>
      </c>
    </row>
    <row r="1888" spans="1:6" x14ac:dyDescent="0.2">
      <c r="A1888" s="7" t="s">
        <v>227</v>
      </c>
      <c r="B1888">
        <v>72217</v>
      </c>
      <c r="C1888">
        <v>87</v>
      </c>
      <c r="E1888" s="7" t="s">
        <v>127</v>
      </c>
      <c r="F1888" s="7">
        <v>90</v>
      </c>
    </row>
    <row r="1889" spans="1:6" x14ac:dyDescent="0.2">
      <c r="A1889" s="7" t="s">
        <v>227</v>
      </c>
      <c r="B1889">
        <v>72217</v>
      </c>
      <c r="C1889">
        <v>88</v>
      </c>
      <c r="E1889" s="7" t="s">
        <v>127</v>
      </c>
      <c r="F1889" s="7">
        <v>180</v>
      </c>
    </row>
    <row r="1890" spans="1:6" x14ac:dyDescent="0.2">
      <c r="A1890" s="7" t="s">
        <v>227</v>
      </c>
      <c r="B1890">
        <v>72217</v>
      </c>
      <c r="C1890">
        <v>89</v>
      </c>
      <c r="E1890" s="7" t="s">
        <v>127</v>
      </c>
      <c r="F1890" s="7">
        <v>64</v>
      </c>
    </row>
    <row r="1891" spans="1:6" x14ac:dyDescent="0.2">
      <c r="A1891" s="7" t="s">
        <v>227</v>
      </c>
      <c r="B1891">
        <v>72217</v>
      </c>
      <c r="C1891">
        <v>90</v>
      </c>
      <c r="E1891" s="7" t="s">
        <v>127</v>
      </c>
      <c r="F1891" s="7">
        <v>90</v>
      </c>
    </row>
    <row r="1892" spans="1:6" x14ac:dyDescent="0.2">
      <c r="A1892" s="7" t="s">
        <v>227</v>
      </c>
      <c r="B1892">
        <v>72217</v>
      </c>
      <c r="C1892">
        <v>91</v>
      </c>
      <c r="E1892" s="7" t="s">
        <v>127</v>
      </c>
      <c r="F1892" s="7">
        <v>180</v>
      </c>
    </row>
    <row r="1893" spans="1:6" x14ac:dyDescent="0.2">
      <c r="A1893" s="7" t="s">
        <v>227</v>
      </c>
      <c r="B1893">
        <v>72217</v>
      </c>
      <c r="C1893">
        <v>92</v>
      </c>
      <c r="E1893" s="7" t="s">
        <v>127</v>
      </c>
      <c r="F1893" s="7">
        <v>180</v>
      </c>
    </row>
    <row r="1894" spans="1:6" x14ac:dyDescent="0.2">
      <c r="A1894" s="7" t="s">
        <v>227</v>
      </c>
      <c r="B1894">
        <v>72217</v>
      </c>
      <c r="C1894">
        <v>93</v>
      </c>
      <c r="E1894" s="7" t="s">
        <v>127</v>
      </c>
      <c r="F1894" s="7">
        <v>180</v>
      </c>
    </row>
    <row r="1895" spans="1:6" x14ac:dyDescent="0.2">
      <c r="A1895" s="7" t="s">
        <v>227</v>
      </c>
      <c r="B1895">
        <v>72217</v>
      </c>
      <c r="C1895">
        <v>94</v>
      </c>
      <c r="E1895" s="7" t="s">
        <v>127</v>
      </c>
      <c r="F1895" s="7">
        <v>128</v>
      </c>
    </row>
    <row r="1896" spans="1:6" x14ac:dyDescent="0.2">
      <c r="A1896" s="7" t="s">
        <v>227</v>
      </c>
      <c r="B1896">
        <v>72217</v>
      </c>
      <c r="C1896">
        <v>95</v>
      </c>
      <c r="E1896" s="7" t="s">
        <v>127</v>
      </c>
      <c r="F1896" s="7">
        <v>128</v>
      </c>
    </row>
    <row r="1897" spans="1:6" x14ac:dyDescent="0.2">
      <c r="A1897" s="7" t="s">
        <v>227</v>
      </c>
      <c r="B1897">
        <v>72217</v>
      </c>
      <c r="C1897">
        <v>96</v>
      </c>
      <c r="E1897" s="7" t="s">
        <v>127</v>
      </c>
      <c r="F1897" s="7">
        <v>90</v>
      </c>
    </row>
    <row r="1898" spans="1:6" x14ac:dyDescent="0.2">
      <c r="A1898" s="7" t="s">
        <v>227</v>
      </c>
      <c r="B1898">
        <v>72217</v>
      </c>
      <c r="C1898">
        <v>97</v>
      </c>
      <c r="E1898" s="7" t="s">
        <v>127</v>
      </c>
      <c r="F1898" s="7">
        <v>90</v>
      </c>
    </row>
    <row r="1899" spans="1:6" x14ac:dyDescent="0.2">
      <c r="A1899" s="7" t="s">
        <v>227</v>
      </c>
      <c r="B1899">
        <v>72217</v>
      </c>
      <c r="C1899">
        <v>98</v>
      </c>
      <c r="E1899" s="7" t="s">
        <v>127</v>
      </c>
      <c r="F1899" s="7">
        <v>45</v>
      </c>
    </row>
    <row r="1900" spans="1:6" x14ac:dyDescent="0.2">
      <c r="A1900" s="7" t="s">
        <v>227</v>
      </c>
      <c r="B1900">
        <v>72217</v>
      </c>
      <c r="C1900">
        <v>99</v>
      </c>
      <c r="E1900" s="7" t="s">
        <v>127</v>
      </c>
      <c r="F1900" s="7">
        <v>22.6</v>
      </c>
    </row>
    <row r="1901" spans="1:6" x14ac:dyDescent="0.2">
      <c r="A1901" s="7" t="s">
        <v>227</v>
      </c>
      <c r="B1901">
        <v>72217</v>
      </c>
      <c r="C1901">
        <v>100</v>
      </c>
      <c r="E1901" s="7" t="s">
        <v>127</v>
      </c>
      <c r="F1901" s="7">
        <v>180</v>
      </c>
    </row>
    <row r="1902" spans="1:6" x14ac:dyDescent="0.2">
      <c r="A1902" s="7" t="s">
        <v>228</v>
      </c>
      <c r="B1902">
        <v>72217</v>
      </c>
      <c r="C1902">
        <v>1</v>
      </c>
      <c r="D1902">
        <v>1</v>
      </c>
      <c r="E1902" s="7" t="s">
        <v>200</v>
      </c>
      <c r="F1902" s="7" t="s">
        <v>115</v>
      </c>
    </row>
    <row r="1903" spans="1:6" x14ac:dyDescent="0.2">
      <c r="A1903" s="7" t="s">
        <v>228</v>
      </c>
      <c r="B1903">
        <v>72217</v>
      </c>
      <c r="C1903">
        <v>2</v>
      </c>
      <c r="D1903">
        <v>1</v>
      </c>
      <c r="E1903" s="7" t="s">
        <v>200</v>
      </c>
      <c r="F1903" s="7" t="s">
        <v>115</v>
      </c>
    </row>
    <row r="1904" spans="1:6" x14ac:dyDescent="0.2">
      <c r="A1904" s="7" t="s">
        <v>228</v>
      </c>
      <c r="B1904">
        <v>72217</v>
      </c>
      <c r="C1904">
        <v>3</v>
      </c>
      <c r="D1904">
        <v>1</v>
      </c>
      <c r="E1904" s="7" t="s">
        <v>127</v>
      </c>
      <c r="F1904" s="7" t="s">
        <v>115</v>
      </c>
    </row>
    <row r="1905" spans="1:6" x14ac:dyDescent="0.2">
      <c r="A1905" s="7" t="s">
        <v>228</v>
      </c>
      <c r="B1905">
        <v>72217</v>
      </c>
      <c r="C1905">
        <v>4</v>
      </c>
      <c r="D1905">
        <v>1</v>
      </c>
      <c r="E1905" s="7" t="s">
        <v>127</v>
      </c>
      <c r="F1905">
        <v>180</v>
      </c>
    </row>
    <row r="1906" spans="1:6" x14ac:dyDescent="0.2">
      <c r="A1906" s="7" t="s">
        <v>228</v>
      </c>
      <c r="B1906">
        <v>72217</v>
      </c>
      <c r="C1906">
        <v>5</v>
      </c>
      <c r="D1906">
        <v>1</v>
      </c>
      <c r="E1906" s="7" t="s">
        <v>127</v>
      </c>
      <c r="F1906">
        <v>180</v>
      </c>
    </row>
    <row r="1907" spans="1:6" x14ac:dyDescent="0.2">
      <c r="A1907" s="7" t="s">
        <v>228</v>
      </c>
      <c r="B1907">
        <v>72217</v>
      </c>
      <c r="C1907">
        <v>6</v>
      </c>
      <c r="D1907">
        <v>1</v>
      </c>
      <c r="E1907" s="7" t="s">
        <v>127</v>
      </c>
      <c r="F1907">
        <v>64</v>
      </c>
    </row>
    <row r="1908" spans="1:6" x14ac:dyDescent="0.2">
      <c r="A1908" s="7" t="s">
        <v>228</v>
      </c>
      <c r="B1908">
        <v>72217</v>
      </c>
      <c r="C1908">
        <v>7</v>
      </c>
      <c r="D1908">
        <v>1</v>
      </c>
      <c r="E1908" s="7" t="s">
        <v>127</v>
      </c>
      <c r="F1908" s="7" t="s">
        <v>115</v>
      </c>
    </row>
    <row r="1909" spans="1:6" x14ac:dyDescent="0.2">
      <c r="A1909" s="7" t="s">
        <v>228</v>
      </c>
      <c r="B1909">
        <v>72217</v>
      </c>
      <c r="C1909">
        <v>8</v>
      </c>
      <c r="D1909">
        <v>1</v>
      </c>
      <c r="E1909" s="7" t="s">
        <v>127</v>
      </c>
      <c r="F1909" s="7">
        <v>90</v>
      </c>
    </row>
    <row r="1910" spans="1:6" x14ac:dyDescent="0.2">
      <c r="A1910" s="7" t="s">
        <v>228</v>
      </c>
      <c r="B1910">
        <v>72217</v>
      </c>
      <c r="C1910">
        <v>9</v>
      </c>
      <c r="D1910">
        <v>1</v>
      </c>
      <c r="E1910" s="7" t="s">
        <v>127</v>
      </c>
      <c r="F1910" s="7">
        <v>128</v>
      </c>
    </row>
    <row r="1911" spans="1:6" x14ac:dyDescent="0.2">
      <c r="A1911" s="7" t="s">
        <v>228</v>
      </c>
      <c r="B1911">
        <v>72217</v>
      </c>
      <c r="C1911">
        <v>10</v>
      </c>
      <c r="D1911">
        <v>1</v>
      </c>
      <c r="E1911" s="7" t="s">
        <v>127</v>
      </c>
      <c r="F1911" s="7">
        <v>32</v>
      </c>
    </row>
    <row r="1912" spans="1:6" x14ac:dyDescent="0.2">
      <c r="A1912" s="7" t="s">
        <v>228</v>
      </c>
      <c r="B1912">
        <v>72217</v>
      </c>
      <c r="C1912">
        <v>11</v>
      </c>
      <c r="D1912">
        <v>1</v>
      </c>
      <c r="E1912" s="7" t="s">
        <v>127</v>
      </c>
      <c r="F1912" s="7">
        <v>90</v>
      </c>
    </row>
    <row r="1913" spans="1:6" x14ac:dyDescent="0.2">
      <c r="A1913" s="7" t="s">
        <v>228</v>
      </c>
      <c r="B1913">
        <v>72217</v>
      </c>
      <c r="C1913">
        <v>12</v>
      </c>
      <c r="D1913">
        <v>1</v>
      </c>
      <c r="E1913" s="7" t="s">
        <v>127</v>
      </c>
      <c r="F1913" s="7">
        <v>22.6</v>
      </c>
    </row>
    <row r="1914" spans="1:6" x14ac:dyDescent="0.2">
      <c r="A1914" s="7" t="s">
        <v>228</v>
      </c>
      <c r="B1914">
        <v>72217</v>
      </c>
      <c r="C1914">
        <v>13</v>
      </c>
      <c r="D1914">
        <v>1</v>
      </c>
      <c r="E1914" s="7" t="s">
        <v>127</v>
      </c>
      <c r="F1914" s="7">
        <v>32</v>
      </c>
    </row>
    <row r="1915" spans="1:6" x14ac:dyDescent="0.2">
      <c r="A1915" s="7" t="s">
        <v>228</v>
      </c>
      <c r="B1915">
        <v>72217</v>
      </c>
      <c r="C1915">
        <v>14</v>
      </c>
      <c r="D1915">
        <v>1</v>
      </c>
      <c r="E1915" s="7" t="s">
        <v>127</v>
      </c>
      <c r="F1915" s="7" t="s">
        <v>115</v>
      </c>
    </row>
    <row r="1916" spans="1:6" x14ac:dyDescent="0.2">
      <c r="A1916" s="7" t="s">
        <v>228</v>
      </c>
      <c r="B1916">
        <v>72217</v>
      </c>
      <c r="C1916">
        <v>15</v>
      </c>
      <c r="D1916">
        <v>1</v>
      </c>
      <c r="E1916" s="7" t="s">
        <v>200</v>
      </c>
      <c r="F1916" s="7" t="s">
        <v>115</v>
      </c>
    </row>
    <row r="1917" spans="1:6" x14ac:dyDescent="0.2">
      <c r="A1917" s="7" t="s">
        <v>228</v>
      </c>
      <c r="B1917">
        <v>72217</v>
      </c>
      <c r="C1917">
        <v>16</v>
      </c>
      <c r="D1917">
        <v>1</v>
      </c>
      <c r="E1917" s="7" t="s">
        <v>200</v>
      </c>
      <c r="F1917" s="7" t="s">
        <v>115</v>
      </c>
    </row>
    <row r="1918" spans="1:6" x14ac:dyDescent="0.2">
      <c r="A1918" s="7" t="s">
        <v>228</v>
      </c>
      <c r="B1918">
        <v>72217</v>
      </c>
      <c r="C1918">
        <v>17</v>
      </c>
      <c r="D1918">
        <v>2</v>
      </c>
      <c r="E1918" s="7" t="s">
        <v>127</v>
      </c>
      <c r="F1918" s="7" t="s">
        <v>115</v>
      </c>
    </row>
    <row r="1919" spans="1:6" x14ac:dyDescent="0.2">
      <c r="A1919" s="7" t="s">
        <v>228</v>
      </c>
      <c r="B1919">
        <v>72217</v>
      </c>
      <c r="C1919">
        <v>18</v>
      </c>
      <c r="D1919">
        <v>2</v>
      </c>
      <c r="E1919" s="7" t="s">
        <v>127</v>
      </c>
      <c r="F1919">
        <v>90</v>
      </c>
    </row>
    <row r="1920" spans="1:6" x14ac:dyDescent="0.2">
      <c r="A1920" s="7" t="s">
        <v>228</v>
      </c>
      <c r="B1920">
        <v>72217</v>
      </c>
      <c r="C1920">
        <v>19</v>
      </c>
      <c r="D1920">
        <v>2</v>
      </c>
      <c r="E1920" s="7" t="s">
        <v>127</v>
      </c>
      <c r="F1920">
        <v>90</v>
      </c>
    </row>
    <row r="1921" spans="1:6" x14ac:dyDescent="0.2">
      <c r="A1921" s="7" t="s">
        <v>228</v>
      </c>
      <c r="B1921">
        <v>72217</v>
      </c>
      <c r="C1921">
        <v>20</v>
      </c>
      <c r="D1921">
        <v>2</v>
      </c>
      <c r="E1921" s="7" t="s">
        <v>127</v>
      </c>
      <c r="F1921">
        <v>180</v>
      </c>
    </row>
    <row r="1922" spans="1:6" x14ac:dyDescent="0.2">
      <c r="A1922" s="7" t="s">
        <v>228</v>
      </c>
      <c r="B1922">
        <v>72217</v>
      </c>
      <c r="C1922">
        <v>21</v>
      </c>
      <c r="D1922">
        <v>2</v>
      </c>
      <c r="E1922" s="7" t="s">
        <v>127</v>
      </c>
      <c r="F1922">
        <v>64</v>
      </c>
    </row>
    <row r="1923" spans="1:6" x14ac:dyDescent="0.2">
      <c r="A1923" s="7" t="s">
        <v>228</v>
      </c>
      <c r="B1923">
        <v>72217</v>
      </c>
      <c r="C1923">
        <v>22</v>
      </c>
      <c r="D1923">
        <v>2</v>
      </c>
      <c r="E1923" s="7" t="s">
        <v>127</v>
      </c>
      <c r="F1923">
        <v>180</v>
      </c>
    </row>
    <row r="1924" spans="1:6" x14ac:dyDescent="0.2">
      <c r="A1924" s="7" t="s">
        <v>228</v>
      </c>
      <c r="B1924">
        <v>72217</v>
      </c>
      <c r="C1924">
        <v>23</v>
      </c>
      <c r="D1924">
        <v>2</v>
      </c>
      <c r="E1924" s="7" t="s">
        <v>127</v>
      </c>
      <c r="F1924">
        <v>45</v>
      </c>
    </row>
    <row r="1925" spans="1:6" x14ac:dyDescent="0.2">
      <c r="A1925" s="7" t="s">
        <v>228</v>
      </c>
      <c r="B1925">
        <v>72217</v>
      </c>
      <c r="C1925">
        <v>24</v>
      </c>
      <c r="D1925">
        <v>2</v>
      </c>
      <c r="E1925" s="7" t="s">
        <v>127</v>
      </c>
      <c r="F1925" s="7" t="s">
        <v>115</v>
      </c>
    </row>
    <row r="1926" spans="1:6" x14ac:dyDescent="0.2">
      <c r="A1926" s="7" t="s">
        <v>228</v>
      </c>
      <c r="B1926">
        <v>72217</v>
      </c>
      <c r="C1926">
        <v>25</v>
      </c>
      <c r="D1926">
        <v>2</v>
      </c>
      <c r="E1926" s="7" t="s">
        <v>127</v>
      </c>
      <c r="F1926" s="7">
        <v>64</v>
      </c>
    </row>
    <row r="1927" spans="1:6" x14ac:dyDescent="0.2">
      <c r="A1927" s="7" t="s">
        <v>228</v>
      </c>
      <c r="B1927">
        <v>72217</v>
      </c>
      <c r="C1927">
        <v>26</v>
      </c>
      <c r="D1927">
        <v>2</v>
      </c>
      <c r="E1927" s="7" t="s">
        <v>127</v>
      </c>
      <c r="F1927" s="7" t="s">
        <v>115</v>
      </c>
    </row>
    <row r="1928" spans="1:6" x14ac:dyDescent="0.2">
      <c r="A1928" s="7" t="s">
        <v>228</v>
      </c>
      <c r="B1928">
        <v>72217</v>
      </c>
      <c r="C1928">
        <v>27</v>
      </c>
      <c r="D1928">
        <v>2</v>
      </c>
      <c r="E1928" s="7" t="s">
        <v>200</v>
      </c>
      <c r="F1928" s="7" t="s">
        <v>115</v>
      </c>
    </row>
    <row r="1929" spans="1:6" x14ac:dyDescent="0.2">
      <c r="A1929" s="7" t="s">
        <v>228</v>
      </c>
      <c r="B1929">
        <v>72217</v>
      </c>
      <c r="C1929">
        <v>28</v>
      </c>
      <c r="D1929">
        <v>2</v>
      </c>
      <c r="E1929" s="7" t="s">
        <v>200</v>
      </c>
      <c r="F1929" s="7" t="s">
        <v>115</v>
      </c>
    </row>
    <row r="1930" spans="1:6" x14ac:dyDescent="0.2">
      <c r="A1930" s="7" t="s">
        <v>228</v>
      </c>
      <c r="B1930">
        <v>72217</v>
      </c>
      <c r="C1930">
        <v>29</v>
      </c>
      <c r="D1930">
        <v>2</v>
      </c>
      <c r="E1930" s="7" t="s">
        <v>200</v>
      </c>
      <c r="F1930" s="7" t="s">
        <v>115</v>
      </c>
    </row>
    <row r="1931" spans="1:6" x14ac:dyDescent="0.2">
      <c r="A1931" s="7" t="s">
        <v>228</v>
      </c>
      <c r="B1931">
        <v>72217</v>
      </c>
      <c r="C1931">
        <v>30</v>
      </c>
      <c r="D1931">
        <v>2</v>
      </c>
      <c r="E1931" s="7" t="s">
        <v>200</v>
      </c>
      <c r="F1931" s="7" t="s">
        <v>115</v>
      </c>
    </row>
    <row r="1932" spans="1:6" x14ac:dyDescent="0.2">
      <c r="A1932" s="7" t="s">
        <v>228</v>
      </c>
      <c r="B1932">
        <v>72217</v>
      </c>
      <c r="C1932">
        <v>31</v>
      </c>
      <c r="D1932">
        <v>2</v>
      </c>
      <c r="E1932" s="7" t="s">
        <v>200</v>
      </c>
      <c r="F1932" s="7" t="s">
        <v>115</v>
      </c>
    </row>
    <row r="1933" spans="1:6" x14ac:dyDescent="0.2">
      <c r="A1933" s="7" t="s">
        <v>228</v>
      </c>
      <c r="B1933">
        <v>72217</v>
      </c>
      <c r="C1933">
        <v>32</v>
      </c>
      <c r="D1933">
        <v>3</v>
      </c>
      <c r="E1933" s="7" t="s">
        <v>200</v>
      </c>
      <c r="F1933" s="7" t="s">
        <v>115</v>
      </c>
    </row>
    <row r="1934" spans="1:6" x14ac:dyDescent="0.2">
      <c r="A1934" s="7" t="s">
        <v>228</v>
      </c>
      <c r="B1934">
        <v>72217</v>
      </c>
      <c r="C1934">
        <v>33</v>
      </c>
      <c r="D1934">
        <v>3</v>
      </c>
      <c r="E1934" s="7" t="s">
        <v>127</v>
      </c>
      <c r="F1934" s="7" t="s">
        <v>115</v>
      </c>
    </row>
    <row r="1935" spans="1:6" x14ac:dyDescent="0.2">
      <c r="A1935" s="7" t="s">
        <v>228</v>
      </c>
      <c r="B1935">
        <v>72217</v>
      </c>
      <c r="C1935">
        <v>34</v>
      </c>
      <c r="D1935">
        <v>3</v>
      </c>
      <c r="E1935" s="7" t="s">
        <v>127</v>
      </c>
      <c r="F1935">
        <v>22.6</v>
      </c>
    </row>
    <row r="1936" spans="1:6" x14ac:dyDescent="0.2">
      <c r="A1936" s="7" t="s">
        <v>228</v>
      </c>
      <c r="B1936">
        <v>72217</v>
      </c>
      <c r="C1936">
        <v>35</v>
      </c>
      <c r="D1936">
        <v>3</v>
      </c>
      <c r="E1936" s="7" t="s">
        <v>127</v>
      </c>
      <c r="F1936">
        <v>180</v>
      </c>
    </row>
    <row r="1937" spans="1:6" x14ac:dyDescent="0.2">
      <c r="A1937" s="7" t="s">
        <v>228</v>
      </c>
      <c r="B1937">
        <v>72217</v>
      </c>
      <c r="C1937">
        <v>36</v>
      </c>
      <c r="D1937">
        <v>3</v>
      </c>
      <c r="E1937" s="7" t="s">
        <v>127</v>
      </c>
      <c r="F1937">
        <v>90</v>
      </c>
    </row>
    <row r="1938" spans="1:6" x14ac:dyDescent="0.2">
      <c r="A1938" s="7" t="s">
        <v>228</v>
      </c>
      <c r="B1938">
        <v>72217</v>
      </c>
      <c r="C1938">
        <v>37</v>
      </c>
      <c r="D1938">
        <v>3</v>
      </c>
      <c r="E1938" s="7" t="s">
        <v>127</v>
      </c>
      <c r="F1938">
        <v>64</v>
      </c>
    </row>
    <row r="1939" spans="1:6" x14ac:dyDescent="0.2">
      <c r="A1939" s="7" t="s">
        <v>228</v>
      </c>
      <c r="B1939">
        <v>72217</v>
      </c>
      <c r="C1939">
        <v>38</v>
      </c>
      <c r="D1939">
        <v>3</v>
      </c>
      <c r="E1939" s="7" t="s">
        <v>127</v>
      </c>
      <c r="F1939">
        <v>90</v>
      </c>
    </row>
    <row r="1940" spans="1:6" x14ac:dyDescent="0.2">
      <c r="A1940" s="7" t="s">
        <v>228</v>
      </c>
      <c r="B1940">
        <v>72217</v>
      </c>
      <c r="C1940">
        <v>39</v>
      </c>
      <c r="D1940">
        <v>3</v>
      </c>
      <c r="E1940" s="7" t="s">
        <v>127</v>
      </c>
      <c r="F1940">
        <v>180</v>
      </c>
    </row>
    <row r="1941" spans="1:6" x14ac:dyDescent="0.2">
      <c r="A1941" s="7" t="s">
        <v>228</v>
      </c>
      <c r="B1941">
        <v>72217</v>
      </c>
      <c r="C1941">
        <v>40</v>
      </c>
      <c r="D1941">
        <v>3</v>
      </c>
      <c r="E1941" s="7" t="s">
        <v>130</v>
      </c>
      <c r="F1941" s="7" t="s">
        <v>115</v>
      </c>
    </row>
    <row r="1942" spans="1:6" x14ac:dyDescent="0.2">
      <c r="A1942" s="7" t="s">
        <v>228</v>
      </c>
      <c r="B1942">
        <v>72217</v>
      </c>
      <c r="C1942">
        <v>41</v>
      </c>
      <c r="D1942">
        <v>3</v>
      </c>
      <c r="E1942" s="7" t="s">
        <v>130</v>
      </c>
      <c r="F1942" s="7" t="s">
        <v>115</v>
      </c>
    </row>
    <row r="1943" spans="1:6" x14ac:dyDescent="0.2">
      <c r="A1943" s="7" t="s">
        <v>228</v>
      </c>
      <c r="B1943">
        <v>72217</v>
      </c>
      <c r="C1943">
        <v>42</v>
      </c>
      <c r="D1943">
        <v>4</v>
      </c>
      <c r="E1943" s="7" t="s">
        <v>130</v>
      </c>
      <c r="F1943" s="7" t="s">
        <v>115</v>
      </c>
    </row>
    <row r="1944" spans="1:6" x14ac:dyDescent="0.2">
      <c r="A1944" s="7" t="s">
        <v>228</v>
      </c>
      <c r="B1944">
        <v>72217</v>
      </c>
      <c r="C1944">
        <v>43</v>
      </c>
      <c r="D1944">
        <v>4</v>
      </c>
      <c r="E1944" s="7" t="s">
        <v>130</v>
      </c>
      <c r="F1944" s="7" t="s">
        <v>115</v>
      </c>
    </row>
    <row r="1945" spans="1:6" x14ac:dyDescent="0.2">
      <c r="A1945" s="7" t="s">
        <v>228</v>
      </c>
      <c r="B1945">
        <v>72217</v>
      </c>
      <c r="C1945">
        <v>44</v>
      </c>
      <c r="D1945">
        <v>4</v>
      </c>
      <c r="E1945" s="7" t="s">
        <v>127</v>
      </c>
      <c r="F1945">
        <v>180</v>
      </c>
    </row>
    <row r="1946" spans="1:6" x14ac:dyDescent="0.2">
      <c r="A1946" s="7" t="s">
        <v>228</v>
      </c>
      <c r="B1946">
        <v>72217</v>
      </c>
      <c r="C1946">
        <v>45</v>
      </c>
      <c r="D1946">
        <v>4</v>
      </c>
      <c r="E1946" s="7" t="s">
        <v>127</v>
      </c>
      <c r="F1946">
        <v>180</v>
      </c>
    </row>
    <row r="1947" spans="1:6" x14ac:dyDescent="0.2">
      <c r="A1947" s="7" t="s">
        <v>228</v>
      </c>
      <c r="B1947">
        <v>72217</v>
      </c>
      <c r="C1947">
        <v>46</v>
      </c>
      <c r="D1947">
        <v>4</v>
      </c>
      <c r="E1947" s="7" t="s">
        <v>127</v>
      </c>
      <c r="F1947">
        <v>90</v>
      </c>
    </row>
    <row r="1948" spans="1:6" x14ac:dyDescent="0.2">
      <c r="A1948" s="7" t="s">
        <v>228</v>
      </c>
      <c r="B1948">
        <v>72217</v>
      </c>
      <c r="C1948">
        <v>47</v>
      </c>
      <c r="D1948">
        <v>4</v>
      </c>
      <c r="E1948" s="7" t="s">
        <v>127</v>
      </c>
      <c r="F1948">
        <v>180</v>
      </c>
    </row>
    <row r="1949" spans="1:6" x14ac:dyDescent="0.2">
      <c r="A1949" s="7" t="s">
        <v>228</v>
      </c>
      <c r="B1949">
        <v>72217</v>
      </c>
      <c r="C1949">
        <v>48</v>
      </c>
      <c r="D1949">
        <v>4</v>
      </c>
      <c r="E1949" s="7" t="s">
        <v>127</v>
      </c>
      <c r="F1949">
        <v>90</v>
      </c>
    </row>
    <row r="1950" spans="1:6" x14ac:dyDescent="0.2">
      <c r="A1950" s="7" t="s">
        <v>228</v>
      </c>
      <c r="B1950">
        <v>72217</v>
      </c>
      <c r="C1950">
        <v>49</v>
      </c>
      <c r="D1950">
        <v>4</v>
      </c>
      <c r="E1950" s="7" t="s">
        <v>127</v>
      </c>
      <c r="F1950" s="7" t="s">
        <v>115</v>
      </c>
    </row>
    <row r="1951" spans="1:6" x14ac:dyDescent="0.2">
      <c r="A1951" s="7" t="s">
        <v>228</v>
      </c>
      <c r="B1951">
        <v>72217</v>
      </c>
      <c r="C1951">
        <v>50</v>
      </c>
      <c r="D1951">
        <v>4</v>
      </c>
      <c r="E1951" s="7" t="s">
        <v>127</v>
      </c>
      <c r="F1951" s="7" t="s">
        <v>115</v>
      </c>
    </row>
    <row r="1952" spans="1:6" x14ac:dyDescent="0.2">
      <c r="A1952" s="7" t="s">
        <v>228</v>
      </c>
      <c r="B1952">
        <v>72217</v>
      </c>
      <c r="C1952">
        <v>51</v>
      </c>
      <c r="D1952">
        <v>4</v>
      </c>
      <c r="E1952" s="7" t="s">
        <v>127</v>
      </c>
      <c r="F1952" s="7" t="s">
        <v>115</v>
      </c>
    </row>
    <row r="1953" spans="1:6" x14ac:dyDescent="0.2">
      <c r="A1953" s="7" t="s">
        <v>228</v>
      </c>
      <c r="B1953">
        <v>72217</v>
      </c>
      <c r="C1953">
        <v>52</v>
      </c>
      <c r="D1953">
        <v>4</v>
      </c>
      <c r="E1953" s="7" t="s">
        <v>200</v>
      </c>
      <c r="F1953">
        <v>11</v>
      </c>
    </row>
    <row r="1954" spans="1:6" x14ac:dyDescent="0.2">
      <c r="A1954" s="7" t="s">
        <v>228</v>
      </c>
      <c r="B1954">
        <v>72217</v>
      </c>
      <c r="C1954">
        <v>53</v>
      </c>
      <c r="D1954">
        <v>4</v>
      </c>
      <c r="E1954" s="7" t="s">
        <v>200</v>
      </c>
      <c r="F1954">
        <v>22.6</v>
      </c>
    </row>
    <row r="1955" spans="1:6" x14ac:dyDescent="0.2">
      <c r="A1955" s="7" t="s">
        <v>228</v>
      </c>
      <c r="B1955">
        <v>72217</v>
      </c>
      <c r="C1955">
        <v>54</v>
      </c>
      <c r="D1955">
        <v>5</v>
      </c>
      <c r="E1955" s="7" t="s">
        <v>200</v>
      </c>
      <c r="F1955" s="7" t="s">
        <v>115</v>
      </c>
    </row>
    <row r="1956" spans="1:6" x14ac:dyDescent="0.2">
      <c r="A1956" s="7" t="s">
        <v>228</v>
      </c>
      <c r="B1956">
        <v>72217</v>
      </c>
      <c r="C1956">
        <v>55</v>
      </c>
      <c r="D1956">
        <v>5</v>
      </c>
      <c r="E1956" s="7" t="s">
        <v>127</v>
      </c>
      <c r="F1956" s="7" t="s">
        <v>115</v>
      </c>
    </row>
    <row r="1957" spans="1:6" x14ac:dyDescent="0.2">
      <c r="A1957" s="7" t="s">
        <v>228</v>
      </c>
      <c r="B1957">
        <v>72217</v>
      </c>
      <c r="C1957">
        <v>56</v>
      </c>
      <c r="D1957">
        <v>5</v>
      </c>
      <c r="E1957" s="7" t="s">
        <v>127</v>
      </c>
      <c r="F1957">
        <v>45</v>
      </c>
    </row>
    <row r="1958" spans="1:6" x14ac:dyDescent="0.2">
      <c r="A1958" s="7" t="s">
        <v>228</v>
      </c>
      <c r="B1958">
        <v>72217</v>
      </c>
      <c r="C1958">
        <v>57</v>
      </c>
      <c r="D1958">
        <v>5</v>
      </c>
      <c r="E1958" s="7" t="s">
        <v>127</v>
      </c>
      <c r="F1958">
        <v>180</v>
      </c>
    </row>
    <row r="1959" spans="1:6" x14ac:dyDescent="0.2">
      <c r="A1959" s="7" t="s">
        <v>228</v>
      </c>
      <c r="B1959">
        <v>72217</v>
      </c>
      <c r="C1959">
        <v>58</v>
      </c>
      <c r="D1959">
        <v>5</v>
      </c>
      <c r="E1959" s="7" t="s">
        <v>127</v>
      </c>
      <c r="F1959">
        <v>180</v>
      </c>
    </row>
    <row r="1960" spans="1:6" x14ac:dyDescent="0.2">
      <c r="A1960" s="7" t="s">
        <v>228</v>
      </c>
      <c r="B1960">
        <v>72217</v>
      </c>
      <c r="C1960">
        <v>59</v>
      </c>
      <c r="D1960">
        <v>5</v>
      </c>
      <c r="E1960" s="7" t="s">
        <v>127</v>
      </c>
      <c r="F1960">
        <v>180</v>
      </c>
    </row>
    <row r="1961" spans="1:6" x14ac:dyDescent="0.2">
      <c r="A1961" s="7" t="s">
        <v>228</v>
      </c>
      <c r="B1961">
        <v>72217</v>
      </c>
      <c r="C1961">
        <v>60</v>
      </c>
      <c r="D1961">
        <v>5</v>
      </c>
      <c r="E1961" s="7" t="s">
        <v>127</v>
      </c>
      <c r="F1961">
        <v>90</v>
      </c>
    </row>
    <row r="1962" spans="1:6" x14ac:dyDescent="0.2">
      <c r="A1962" s="7" t="s">
        <v>228</v>
      </c>
      <c r="B1962">
        <v>72217</v>
      </c>
      <c r="C1962">
        <v>61</v>
      </c>
      <c r="D1962">
        <v>5</v>
      </c>
      <c r="E1962" s="7" t="s">
        <v>127</v>
      </c>
      <c r="F1962">
        <v>180</v>
      </c>
    </row>
    <row r="1963" spans="1:6" x14ac:dyDescent="0.2">
      <c r="A1963" s="7" t="s">
        <v>228</v>
      </c>
      <c r="B1963">
        <v>72217</v>
      </c>
      <c r="C1963">
        <v>62</v>
      </c>
      <c r="D1963">
        <v>5</v>
      </c>
      <c r="E1963" s="7" t="s">
        <v>127</v>
      </c>
      <c r="F1963" s="7" t="s">
        <v>115</v>
      </c>
    </row>
    <row r="1964" spans="1:6" x14ac:dyDescent="0.2">
      <c r="A1964" s="7" t="s">
        <v>228</v>
      </c>
      <c r="B1964">
        <v>72217</v>
      </c>
      <c r="C1964">
        <v>63</v>
      </c>
      <c r="D1964">
        <v>6</v>
      </c>
      <c r="E1964" s="7" t="s">
        <v>200</v>
      </c>
      <c r="F1964" s="7">
        <v>45</v>
      </c>
    </row>
    <row r="1965" spans="1:6" x14ac:dyDescent="0.2">
      <c r="A1965" s="7" t="s">
        <v>228</v>
      </c>
      <c r="B1965">
        <v>72217</v>
      </c>
      <c r="C1965">
        <v>64</v>
      </c>
      <c r="D1965">
        <v>6</v>
      </c>
      <c r="E1965" s="7" t="s">
        <v>200</v>
      </c>
      <c r="F1965" s="7">
        <v>64</v>
      </c>
    </row>
    <row r="1966" spans="1:6" x14ac:dyDescent="0.2">
      <c r="A1966" s="7" t="s">
        <v>228</v>
      </c>
      <c r="B1966">
        <v>72217</v>
      </c>
      <c r="C1966">
        <v>65</v>
      </c>
      <c r="D1966">
        <v>6</v>
      </c>
      <c r="E1966" s="7" t="s">
        <v>127</v>
      </c>
      <c r="F1966" s="7">
        <v>180</v>
      </c>
    </row>
    <row r="1967" spans="1:6" x14ac:dyDescent="0.2">
      <c r="A1967" s="7" t="s">
        <v>228</v>
      </c>
      <c r="B1967">
        <v>72217</v>
      </c>
      <c r="C1967">
        <v>66</v>
      </c>
      <c r="D1967">
        <v>6</v>
      </c>
      <c r="E1967" s="7" t="s">
        <v>127</v>
      </c>
      <c r="F1967" s="7">
        <v>180</v>
      </c>
    </row>
    <row r="1968" spans="1:6" x14ac:dyDescent="0.2">
      <c r="A1968" s="7" t="s">
        <v>228</v>
      </c>
      <c r="B1968">
        <v>72217</v>
      </c>
      <c r="C1968">
        <v>67</v>
      </c>
      <c r="D1968">
        <v>6</v>
      </c>
      <c r="E1968" s="7" t="s">
        <v>127</v>
      </c>
      <c r="F1968" s="7">
        <v>180</v>
      </c>
    </row>
    <row r="1969" spans="1:6" x14ac:dyDescent="0.2">
      <c r="A1969" s="7" t="s">
        <v>228</v>
      </c>
      <c r="B1969">
        <v>72217</v>
      </c>
      <c r="C1969">
        <v>68</v>
      </c>
      <c r="D1969">
        <v>6</v>
      </c>
      <c r="E1969" s="7" t="s">
        <v>200</v>
      </c>
      <c r="F1969" s="7">
        <v>180</v>
      </c>
    </row>
    <row r="1970" spans="1:6" x14ac:dyDescent="0.2">
      <c r="A1970" s="7" t="s">
        <v>228</v>
      </c>
      <c r="B1970">
        <v>72217</v>
      </c>
      <c r="C1970">
        <v>69</v>
      </c>
      <c r="D1970">
        <v>7</v>
      </c>
      <c r="E1970" s="7" t="s">
        <v>200</v>
      </c>
      <c r="F1970" s="7">
        <v>180</v>
      </c>
    </row>
    <row r="1971" spans="1:6" x14ac:dyDescent="0.2">
      <c r="A1971" s="7" t="s">
        <v>228</v>
      </c>
      <c r="B1971">
        <v>72217</v>
      </c>
      <c r="C1971">
        <v>70</v>
      </c>
      <c r="D1971">
        <v>7</v>
      </c>
      <c r="E1971" s="7" t="s">
        <v>127</v>
      </c>
      <c r="F1971" s="7">
        <v>180</v>
      </c>
    </row>
    <row r="1972" spans="1:6" x14ac:dyDescent="0.2">
      <c r="A1972" s="7" t="s">
        <v>228</v>
      </c>
      <c r="B1972">
        <v>72217</v>
      </c>
      <c r="C1972">
        <v>71</v>
      </c>
      <c r="D1972">
        <v>7</v>
      </c>
      <c r="E1972" s="7" t="s">
        <v>127</v>
      </c>
      <c r="F1972" s="7">
        <v>180</v>
      </c>
    </row>
    <row r="1973" spans="1:6" x14ac:dyDescent="0.2">
      <c r="A1973" s="7" t="s">
        <v>228</v>
      </c>
      <c r="B1973">
        <v>72217</v>
      </c>
      <c r="C1973">
        <v>72</v>
      </c>
      <c r="D1973">
        <v>7</v>
      </c>
      <c r="E1973" s="7" t="s">
        <v>127</v>
      </c>
      <c r="F1973" s="7">
        <v>90</v>
      </c>
    </row>
    <row r="1974" spans="1:6" x14ac:dyDescent="0.2">
      <c r="A1974" s="7" t="s">
        <v>228</v>
      </c>
      <c r="B1974">
        <v>72217</v>
      </c>
      <c r="C1974">
        <v>73</v>
      </c>
      <c r="D1974">
        <v>7</v>
      </c>
      <c r="E1974" s="7" t="s">
        <v>127</v>
      </c>
      <c r="F1974" s="7">
        <v>45</v>
      </c>
    </row>
    <row r="1975" spans="1:6" x14ac:dyDescent="0.2">
      <c r="A1975" s="7" t="s">
        <v>228</v>
      </c>
      <c r="B1975">
        <v>72217</v>
      </c>
      <c r="C1975">
        <v>74</v>
      </c>
      <c r="D1975">
        <v>7</v>
      </c>
      <c r="E1975" s="7" t="s">
        <v>127</v>
      </c>
      <c r="F1975" s="7">
        <v>90</v>
      </c>
    </row>
    <row r="1976" spans="1:6" x14ac:dyDescent="0.2">
      <c r="A1976" s="7" t="s">
        <v>228</v>
      </c>
      <c r="B1976">
        <v>72217</v>
      </c>
      <c r="C1976">
        <v>75</v>
      </c>
      <c r="D1976">
        <v>7</v>
      </c>
      <c r="E1976" s="7" t="s">
        <v>127</v>
      </c>
      <c r="F1976" s="7">
        <v>32</v>
      </c>
    </row>
    <row r="1977" spans="1:6" x14ac:dyDescent="0.2">
      <c r="A1977" s="7" t="s">
        <v>228</v>
      </c>
      <c r="B1977">
        <v>72217</v>
      </c>
      <c r="C1977">
        <v>76</v>
      </c>
      <c r="D1977">
        <v>7</v>
      </c>
      <c r="E1977" s="7" t="s">
        <v>127</v>
      </c>
      <c r="F1977" s="7">
        <v>45</v>
      </c>
    </row>
    <row r="1978" spans="1:6" x14ac:dyDescent="0.2">
      <c r="A1978" s="7" t="s">
        <v>228</v>
      </c>
      <c r="B1978">
        <v>72217</v>
      </c>
      <c r="C1978">
        <v>77</v>
      </c>
      <c r="D1978">
        <v>7</v>
      </c>
      <c r="E1978" s="7" t="s">
        <v>200</v>
      </c>
      <c r="F1978" s="7" t="s">
        <v>115</v>
      </c>
    </row>
    <row r="1979" spans="1:6" x14ac:dyDescent="0.2">
      <c r="A1979" s="7" t="s">
        <v>228</v>
      </c>
      <c r="B1979">
        <v>72217</v>
      </c>
      <c r="C1979">
        <v>78</v>
      </c>
      <c r="D1979">
        <v>7</v>
      </c>
      <c r="E1979" s="7" t="s">
        <v>200</v>
      </c>
      <c r="F1979" s="7" t="s">
        <v>115</v>
      </c>
    </row>
    <row r="1980" spans="1:6" x14ac:dyDescent="0.2">
      <c r="A1980" s="7" t="s">
        <v>228</v>
      </c>
      <c r="B1980">
        <v>72217</v>
      </c>
      <c r="C1980">
        <v>79</v>
      </c>
      <c r="D1980">
        <v>7</v>
      </c>
      <c r="E1980" s="7" t="s">
        <v>200</v>
      </c>
      <c r="F1980" s="7" t="s">
        <v>115</v>
      </c>
    </row>
    <row r="1981" spans="1:6" x14ac:dyDescent="0.2">
      <c r="A1981" s="7" t="s">
        <v>228</v>
      </c>
      <c r="B1981">
        <v>72217</v>
      </c>
      <c r="C1981">
        <v>80</v>
      </c>
      <c r="D1981">
        <v>8</v>
      </c>
      <c r="E1981" s="7" t="s">
        <v>200</v>
      </c>
      <c r="F1981">
        <v>64</v>
      </c>
    </row>
    <row r="1982" spans="1:6" x14ac:dyDescent="0.2">
      <c r="A1982" s="7" t="s">
        <v>228</v>
      </c>
      <c r="B1982">
        <v>72217</v>
      </c>
      <c r="C1982">
        <v>81</v>
      </c>
      <c r="D1982">
        <v>8</v>
      </c>
      <c r="E1982" s="7" t="s">
        <v>127</v>
      </c>
      <c r="F1982">
        <v>64</v>
      </c>
    </row>
    <row r="1983" spans="1:6" x14ac:dyDescent="0.2">
      <c r="A1983" s="7" t="s">
        <v>228</v>
      </c>
      <c r="B1983">
        <v>72217</v>
      </c>
      <c r="C1983">
        <v>82</v>
      </c>
      <c r="D1983">
        <v>8</v>
      </c>
      <c r="E1983" s="7" t="s">
        <v>127</v>
      </c>
      <c r="F1983">
        <v>180</v>
      </c>
    </row>
    <row r="1984" spans="1:6" x14ac:dyDescent="0.2">
      <c r="A1984" s="7" t="s">
        <v>228</v>
      </c>
      <c r="B1984">
        <v>72217</v>
      </c>
      <c r="C1984">
        <v>83</v>
      </c>
      <c r="D1984">
        <v>8</v>
      </c>
      <c r="E1984" s="7" t="s">
        <v>127</v>
      </c>
      <c r="F1984">
        <v>90</v>
      </c>
    </row>
    <row r="1985" spans="1:6" x14ac:dyDescent="0.2">
      <c r="A1985" s="7" t="s">
        <v>228</v>
      </c>
      <c r="B1985">
        <v>72217</v>
      </c>
      <c r="C1985">
        <v>84</v>
      </c>
      <c r="D1985">
        <v>8</v>
      </c>
      <c r="E1985" s="7" t="s">
        <v>127</v>
      </c>
      <c r="F1985">
        <v>45</v>
      </c>
    </row>
    <row r="1986" spans="1:6" x14ac:dyDescent="0.2">
      <c r="A1986" s="7" t="s">
        <v>228</v>
      </c>
      <c r="B1986">
        <v>72217</v>
      </c>
      <c r="C1986">
        <v>85</v>
      </c>
      <c r="D1986">
        <v>8</v>
      </c>
      <c r="E1986" s="7" t="s">
        <v>127</v>
      </c>
      <c r="F1986">
        <v>90</v>
      </c>
    </row>
    <row r="1987" spans="1:6" x14ac:dyDescent="0.2">
      <c r="A1987" s="7" t="s">
        <v>228</v>
      </c>
      <c r="B1987">
        <v>72217</v>
      </c>
      <c r="C1987">
        <v>86</v>
      </c>
      <c r="D1987">
        <v>8</v>
      </c>
      <c r="E1987" s="7" t="s">
        <v>127</v>
      </c>
      <c r="F1987">
        <v>180</v>
      </c>
    </row>
    <row r="1988" spans="1:6" x14ac:dyDescent="0.2">
      <c r="A1988" s="7" t="s">
        <v>228</v>
      </c>
      <c r="B1988">
        <v>72217</v>
      </c>
      <c r="C1988">
        <v>87</v>
      </c>
      <c r="D1988">
        <v>8</v>
      </c>
      <c r="E1988" s="7" t="s">
        <v>127</v>
      </c>
      <c r="F1988">
        <v>180</v>
      </c>
    </row>
    <row r="1989" spans="1:6" x14ac:dyDescent="0.2">
      <c r="A1989" s="7" t="s">
        <v>228</v>
      </c>
      <c r="B1989">
        <v>72217</v>
      </c>
      <c r="C1989">
        <v>88</v>
      </c>
      <c r="D1989">
        <v>8</v>
      </c>
      <c r="E1989" s="7" t="s">
        <v>127</v>
      </c>
      <c r="F1989">
        <v>64</v>
      </c>
    </row>
    <row r="1990" spans="1:6" x14ac:dyDescent="0.2">
      <c r="A1990" s="7" t="s">
        <v>228</v>
      </c>
      <c r="B1990">
        <v>72217</v>
      </c>
      <c r="C1990">
        <v>89</v>
      </c>
      <c r="D1990">
        <v>8</v>
      </c>
      <c r="E1990" s="7" t="s">
        <v>130</v>
      </c>
      <c r="F1990" s="7" t="s">
        <v>115</v>
      </c>
    </row>
    <row r="1991" spans="1:6" x14ac:dyDescent="0.2">
      <c r="A1991" s="7" t="s">
        <v>228</v>
      </c>
      <c r="B1991">
        <v>72217</v>
      </c>
      <c r="C1991">
        <v>90</v>
      </c>
      <c r="D1991">
        <v>8</v>
      </c>
      <c r="E1991" s="7" t="s">
        <v>130</v>
      </c>
      <c r="F1991" s="7" t="s">
        <v>115</v>
      </c>
    </row>
    <row r="1992" spans="1:6" x14ac:dyDescent="0.2">
      <c r="A1992" s="7" t="s">
        <v>228</v>
      </c>
      <c r="B1992">
        <v>72217</v>
      </c>
      <c r="C1992">
        <v>91</v>
      </c>
      <c r="D1992">
        <v>8</v>
      </c>
      <c r="E1992" s="7" t="s">
        <v>130</v>
      </c>
      <c r="F1992" s="7">
        <v>128</v>
      </c>
    </row>
    <row r="1993" spans="1:6" x14ac:dyDescent="0.2">
      <c r="A1993" s="7" t="s">
        <v>228</v>
      </c>
      <c r="B1993">
        <v>72217</v>
      </c>
      <c r="C1993">
        <v>92</v>
      </c>
      <c r="D1993">
        <v>8</v>
      </c>
      <c r="E1993" s="7" t="s">
        <v>130</v>
      </c>
      <c r="F1993" s="7" t="s">
        <v>115</v>
      </c>
    </row>
    <row r="1994" spans="1:6" x14ac:dyDescent="0.2">
      <c r="A1994" s="7" t="s">
        <v>228</v>
      </c>
      <c r="B1994">
        <v>72217</v>
      </c>
      <c r="C1994">
        <v>93</v>
      </c>
      <c r="D1994">
        <v>8</v>
      </c>
      <c r="E1994" s="7" t="s">
        <v>127</v>
      </c>
      <c r="F1994">
        <v>180</v>
      </c>
    </row>
    <row r="1995" spans="1:6" x14ac:dyDescent="0.2">
      <c r="A1995" s="7" t="s">
        <v>228</v>
      </c>
      <c r="B1995">
        <v>72217</v>
      </c>
      <c r="C1995">
        <v>94</v>
      </c>
      <c r="D1995">
        <v>8</v>
      </c>
      <c r="E1995" s="7" t="s">
        <v>127</v>
      </c>
      <c r="F1995">
        <v>180</v>
      </c>
    </row>
    <row r="1996" spans="1:6" x14ac:dyDescent="0.2">
      <c r="A1996" s="7" t="s">
        <v>228</v>
      </c>
      <c r="B1996">
        <v>72217</v>
      </c>
      <c r="C1996">
        <v>95</v>
      </c>
      <c r="D1996">
        <v>8</v>
      </c>
      <c r="E1996" s="7" t="s">
        <v>130</v>
      </c>
      <c r="F1996">
        <v>90</v>
      </c>
    </row>
    <row r="1997" spans="1:6" x14ac:dyDescent="0.2">
      <c r="A1997" s="7" t="s">
        <v>228</v>
      </c>
      <c r="B1997">
        <v>72217</v>
      </c>
      <c r="C1997">
        <v>96</v>
      </c>
      <c r="D1997">
        <v>8</v>
      </c>
      <c r="E1997" s="7" t="s">
        <v>127</v>
      </c>
      <c r="F1997">
        <v>90</v>
      </c>
    </row>
    <row r="1998" spans="1:6" x14ac:dyDescent="0.2">
      <c r="A1998" s="7" t="s">
        <v>228</v>
      </c>
      <c r="B1998">
        <v>72217</v>
      </c>
      <c r="C1998">
        <v>97</v>
      </c>
      <c r="D1998">
        <v>8</v>
      </c>
      <c r="E1998" s="7" t="s">
        <v>127</v>
      </c>
      <c r="F1998">
        <v>16</v>
      </c>
    </row>
    <row r="1999" spans="1:6" x14ac:dyDescent="0.2">
      <c r="A1999" s="7" t="s">
        <v>228</v>
      </c>
      <c r="B1999">
        <v>72217</v>
      </c>
      <c r="C1999">
        <v>98</v>
      </c>
      <c r="D1999">
        <v>8</v>
      </c>
      <c r="E1999" s="7" t="s">
        <v>127</v>
      </c>
      <c r="F1999">
        <v>90</v>
      </c>
    </row>
    <row r="2000" spans="1:6" x14ac:dyDescent="0.2">
      <c r="A2000" s="7" t="s">
        <v>228</v>
      </c>
      <c r="B2000">
        <v>72217</v>
      </c>
      <c r="C2000">
        <v>99</v>
      </c>
      <c r="D2000">
        <v>8</v>
      </c>
      <c r="E2000" s="7" t="s">
        <v>127</v>
      </c>
      <c r="F2000">
        <v>22.6</v>
      </c>
    </row>
    <row r="2001" spans="1:7" x14ac:dyDescent="0.2">
      <c r="A2001" s="7" t="s">
        <v>228</v>
      </c>
      <c r="B2001">
        <v>72217</v>
      </c>
      <c r="C2001">
        <v>100</v>
      </c>
      <c r="D2001">
        <v>8</v>
      </c>
      <c r="E2001" s="7" t="s">
        <v>127</v>
      </c>
      <c r="F2001">
        <v>128</v>
      </c>
    </row>
    <row r="2002" spans="1:7" x14ac:dyDescent="0.2">
      <c r="A2002" s="7" t="s">
        <v>229</v>
      </c>
      <c r="B2002">
        <v>72217</v>
      </c>
      <c r="C2002">
        <v>1</v>
      </c>
      <c r="D2002">
        <v>1</v>
      </c>
      <c r="E2002" s="7" t="s">
        <v>200</v>
      </c>
      <c r="F2002" s="7">
        <v>16</v>
      </c>
    </row>
    <row r="2003" spans="1:7" x14ac:dyDescent="0.2">
      <c r="A2003" s="7" t="s">
        <v>229</v>
      </c>
      <c r="B2003">
        <v>72217</v>
      </c>
      <c r="C2003">
        <v>2</v>
      </c>
      <c r="E2003" s="7" t="s">
        <v>200</v>
      </c>
      <c r="F2003" s="7">
        <v>90</v>
      </c>
      <c r="G2003" s="7" t="s">
        <v>243</v>
      </c>
    </row>
    <row r="2004" spans="1:7" x14ac:dyDescent="0.2">
      <c r="A2004" s="7" t="s">
        <v>229</v>
      </c>
      <c r="B2004">
        <v>72217</v>
      </c>
      <c r="C2004">
        <v>3</v>
      </c>
      <c r="E2004" s="7" t="s">
        <v>200</v>
      </c>
      <c r="F2004" s="7">
        <v>22.6</v>
      </c>
      <c r="G2004" s="7" t="s">
        <v>243</v>
      </c>
    </row>
    <row r="2005" spans="1:7" x14ac:dyDescent="0.2">
      <c r="A2005" s="7" t="s">
        <v>229</v>
      </c>
      <c r="B2005">
        <v>72217</v>
      </c>
      <c r="C2005">
        <v>4</v>
      </c>
      <c r="E2005" s="7" t="s">
        <v>200</v>
      </c>
      <c r="F2005" s="7" t="s">
        <v>115</v>
      </c>
      <c r="G2005" s="7" t="s">
        <v>243</v>
      </c>
    </row>
    <row r="2006" spans="1:7" x14ac:dyDescent="0.2">
      <c r="A2006" s="7" t="s">
        <v>229</v>
      </c>
      <c r="B2006">
        <v>72217</v>
      </c>
      <c r="C2006">
        <v>5</v>
      </c>
      <c r="E2006" s="7" t="s">
        <v>200</v>
      </c>
      <c r="F2006" s="7" t="s">
        <v>115</v>
      </c>
      <c r="G2006" s="7" t="s">
        <v>243</v>
      </c>
    </row>
    <row r="2007" spans="1:7" x14ac:dyDescent="0.2">
      <c r="A2007" s="7" t="s">
        <v>229</v>
      </c>
      <c r="B2007">
        <v>72217</v>
      </c>
      <c r="C2007">
        <v>6</v>
      </c>
      <c r="E2007" s="7" t="s">
        <v>127</v>
      </c>
      <c r="F2007" s="7" t="s">
        <v>115</v>
      </c>
      <c r="G2007" s="7" t="s">
        <v>243</v>
      </c>
    </row>
    <row r="2008" spans="1:7" x14ac:dyDescent="0.2">
      <c r="A2008" s="7" t="s">
        <v>229</v>
      </c>
      <c r="B2008">
        <v>72217</v>
      </c>
      <c r="C2008">
        <v>7</v>
      </c>
      <c r="E2008" s="7" t="s">
        <v>127</v>
      </c>
      <c r="F2008" s="7" t="s">
        <v>115</v>
      </c>
      <c r="G2008" s="7" t="s">
        <v>243</v>
      </c>
    </row>
    <row r="2009" spans="1:7" x14ac:dyDescent="0.2">
      <c r="A2009" s="7" t="s">
        <v>229</v>
      </c>
      <c r="B2009">
        <v>72217</v>
      </c>
      <c r="C2009">
        <v>8</v>
      </c>
      <c r="E2009" s="7" t="s">
        <v>127</v>
      </c>
      <c r="F2009" s="7" t="s">
        <v>115</v>
      </c>
      <c r="G2009" s="7" t="s">
        <v>243</v>
      </c>
    </row>
    <row r="2010" spans="1:7" x14ac:dyDescent="0.2">
      <c r="A2010" s="7" t="s">
        <v>229</v>
      </c>
      <c r="B2010">
        <v>72217</v>
      </c>
      <c r="C2010">
        <v>9</v>
      </c>
      <c r="E2010" s="7" t="s">
        <v>127</v>
      </c>
      <c r="F2010" s="7">
        <v>180</v>
      </c>
      <c r="G2010" s="7" t="s">
        <v>243</v>
      </c>
    </row>
    <row r="2011" spans="1:7" x14ac:dyDescent="0.2">
      <c r="A2011" s="7" t="s">
        <v>229</v>
      </c>
      <c r="B2011">
        <v>72217</v>
      </c>
      <c r="C2011">
        <v>10</v>
      </c>
      <c r="E2011" s="7" t="s">
        <v>127</v>
      </c>
      <c r="F2011" s="7">
        <v>64</v>
      </c>
      <c r="G2011" s="7" t="s">
        <v>243</v>
      </c>
    </row>
    <row r="2012" spans="1:7" x14ac:dyDescent="0.2">
      <c r="A2012" s="7" t="s">
        <v>229</v>
      </c>
      <c r="B2012">
        <v>72217</v>
      </c>
      <c r="C2012">
        <v>11</v>
      </c>
      <c r="E2012" s="7" t="s">
        <v>127</v>
      </c>
      <c r="F2012" s="7">
        <v>128</v>
      </c>
      <c r="G2012" s="7" t="s">
        <v>243</v>
      </c>
    </row>
    <row r="2013" spans="1:7" x14ac:dyDescent="0.2">
      <c r="A2013" s="7" t="s">
        <v>229</v>
      </c>
      <c r="B2013">
        <v>72217</v>
      </c>
      <c r="C2013">
        <v>12</v>
      </c>
      <c r="E2013" s="7" t="s">
        <v>127</v>
      </c>
      <c r="F2013" s="7">
        <v>90</v>
      </c>
      <c r="G2013" s="7" t="s">
        <v>243</v>
      </c>
    </row>
    <row r="2014" spans="1:7" x14ac:dyDescent="0.2">
      <c r="A2014" s="7" t="s">
        <v>229</v>
      </c>
      <c r="B2014">
        <v>72217</v>
      </c>
      <c r="C2014">
        <v>13</v>
      </c>
      <c r="E2014" s="7" t="s">
        <v>127</v>
      </c>
      <c r="F2014" s="7">
        <v>180</v>
      </c>
      <c r="G2014" s="7" t="s">
        <v>243</v>
      </c>
    </row>
    <row r="2015" spans="1:7" x14ac:dyDescent="0.2">
      <c r="A2015" s="7" t="s">
        <v>229</v>
      </c>
      <c r="B2015">
        <v>72217</v>
      </c>
      <c r="C2015">
        <v>14</v>
      </c>
      <c r="E2015" s="7" t="s">
        <v>127</v>
      </c>
      <c r="F2015" s="7">
        <v>64</v>
      </c>
      <c r="G2015" s="7" t="s">
        <v>243</v>
      </c>
    </row>
    <row r="2016" spans="1:7" x14ac:dyDescent="0.2">
      <c r="A2016" s="7" t="s">
        <v>229</v>
      </c>
      <c r="B2016">
        <v>72217</v>
      </c>
      <c r="C2016">
        <v>15</v>
      </c>
      <c r="E2016" s="7" t="s">
        <v>127</v>
      </c>
      <c r="F2016" s="7">
        <v>64</v>
      </c>
      <c r="G2016" s="7" t="s">
        <v>243</v>
      </c>
    </row>
    <row r="2017" spans="1:7" x14ac:dyDescent="0.2">
      <c r="A2017" s="7" t="s">
        <v>229</v>
      </c>
      <c r="B2017">
        <v>72217</v>
      </c>
      <c r="C2017">
        <v>16</v>
      </c>
      <c r="E2017" s="7" t="s">
        <v>127</v>
      </c>
      <c r="F2017" s="7">
        <v>64</v>
      </c>
      <c r="G2017" s="7" t="s">
        <v>243</v>
      </c>
    </row>
    <row r="2018" spans="1:7" x14ac:dyDescent="0.2">
      <c r="A2018" s="7" t="s">
        <v>229</v>
      </c>
      <c r="B2018">
        <v>72217</v>
      </c>
      <c r="C2018">
        <v>17</v>
      </c>
      <c r="E2018" s="7" t="s">
        <v>127</v>
      </c>
      <c r="F2018" s="7">
        <v>45</v>
      </c>
      <c r="G2018" s="7" t="s">
        <v>243</v>
      </c>
    </row>
    <row r="2019" spans="1:7" x14ac:dyDescent="0.2">
      <c r="A2019" s="7" t="s">
        <v>229</v>
      </c>
      <c r="B2019">
        <v>72217</v>
      </c>
      <c r="C2019">
        <v>18</v>
      </c>
      <c r="E2019" s="7" t="s">
        <v>127</v>
      </c>
      <c r="F2019" s="7" t="s">
        <v>115</v>
      </c>
      <c r="G2019" s="7" t="s">
        <v>243</v>
      </c>
    </row>
    <row r="2020" spans="1:7" x14ac:dyDescent="0.2">
      <c r="A2020" s="7" t="s">
        <v>229</v>
      </c>
      <c r="B2020">
        <v>72217</v>
      </c>
      <c r="C2020">
        <v>19</v>
      </c>
      <c r="E2020" s="7" t="s">
        <v>127</v>
      </c>
      <c r="F2020" s="7">
        <v>64</v>
      </c>
      <c r="G2020" s="7" t="s">
        <v>243</v>
      </c>
    </row>
    <row r="2021" spans="1:7" x14ac:dyDescent="0.2">
      <c r="A2021" s="7" t="s">
        <v>229</v>
      </c>
      <c r="B2021">
        <v>72217</v>
      </c>
      <c r="C2021">
        <v>20</v>
      </c>
      <c r="E2021" s="7" t="s">
        <v>127</v>
      </c>
      <c r="F2021" s="7">
        <v>180</v>
      </c>
      <c r="G2021" s="7" t="s">
        <v>243</v>
      </c>
    </row>
    <row r="2022" spans="1:7" x14ac:dyDescent="0.2">
      <c r="A2022" s="7" t="s">
        <v>229</v>
      </c>
      <c r="B2022">
        <v>72217</v>
      </c>
      <c r="C2022">
        <v>21</v>
      </c>
      <c r="E2022" s="7" t="s">
        <v>127</v>
      </c>
      <c r="F2022" s="7">
        <v>128</v>
      </c>
      <c r="G2022" s="7" t="s">
        <v>243</v>
      </c>
    </row>
    <row r="2023" spans="1:7" x14ac:dyDescent="0.2">
      <c r="A2023" s="7" t="s">
        <v>229</v>
      </c>
      <c r="B2023">
        <v>72217</v>
      </c>
      <c r="C2023">
        <v>22</v>
      </c>
      <c r="E2023" s="7" t="s">
        <v>127</v>
      </c>
      <c r="F2023" s="7">
        <v>180</v>
      </c>
      <c r="G2023" s="7" t="s">
        <v>243</v>
      </c>
    </row>
    <row r="2024" spans="1:7" x14ac:dyDescent="0.2">
      <c r="A2024" s="7" t="s">
        <v>229</v>
      </c>
      <c r="B2024">
        <v>72217</v>
      </c>
      <c r="C2024">
        <v>23</v>
      </c>
      <c r="E2024" s="7" t="s">
        <v>127</v>
      </c>
      <c r="F2024" s="7">
        <v>180</v>
      </c>
      <c r="G2024" s="7" t="s">
        <v>243</v>
      </c>
    </row>
    <row r="2025" spans="1:7" x14ac:dyDescent="0.2">
      <c r="A2025" s="7" t="s">
        <v>229</v>
      </c>
      <c r="B2025">
        <v>72217</v>
      </c>
      <c r="C2025">
        <v>24</v>
      </c>
      <c r="E2025" s="7" t="s">
        <v>127</v>
      </c>
      <c r="F2025" s="7">
        <v>8</v>
      </c>
      <c r="G2025" s="7" t="s">
        <v>243</v>
      </c>
    </row>
    <row r="2026" spans="1:7" x14ac:dyDescent="0.2">
      <c r="A2026" s="7" t="s">
        <v>229</v>
      </c>
      <c r="B2026">
        <v>72217</v>
      </c>
      <c r="C2026">
        <v>25</v>
      </c>
      <c r="E2026" s="7" t="s">
        <v>127</v>
      </c>
      <c r="F2026" s="7">
        <v>11</v>
      </c>
      <c r="G2026" s="7" t="s">
        <v>243</v>
      </c>
    </row>
    <row r="2027" spans="1:7" x14ac:dyDescent="0.2">
      <c r="A2027" s="7" t="s">
        <v>229</v>
      </c>
      <c r="B2027">
        <v>72217</v>
      </c>
      <c r="C2027">
        <v>26</v>
      </c>
      <c r="E2027" s="7" t="s">
        <v>127</v>
      </c>
      <c r="F2027" s="7">
        <v>180</v>
      </c>
      <c r="G2027" s="7" t="s">
        <v>243</v>
      </c>
    </row>
    <row r="2028" spans="1:7" x14ac:dyDescent="0.2">
      <c r="A2028" s="7" t="s">
        <v>229</v>
      </c>
      <c r="B2028">
        <v>72217</v>
      </c>
      <c r="C2028">
        <v>27</v>
      </c>
      <c r="E2028" s="7" t="s">
        <v>127</v>
      </c>
      <c r="F2028" s="7">
        <v>64</v>
      </c>
      <c r="G2028" s="7" t="s">
        <v>243</v>
      </c>
    </row>
    <row r="2029" spans="1:7" x14ac:dyDescent="0.2">
      <c r="A2029" s="7" t="s">
        <v>229</v>
      </c>
      <c r="B2029">
        <v>72217</v>
      </c>
      <c r="C2029">
        <v>28</v>
      </c>
      <c r="E2029" s="7" t="s">
        <v>200</v>
      </c>
      <c r="F2029" s="7" t="s">
        <v>115</v>
      </c>
      <c r="G2029" s="7" t="s">
        <v>243</v>
      </c>
    </row>
    <row r="2030" spans="1:7" x14ac:dyDescent="0.2">
      <c r="A2030" s="7" t="s">
        <v>229</v>
      </c>
      <c r="B2030">
        <v>72217</v>
      </c>
      <c r="C2030">
        <v>29</v>
      </c>
      <c r="E2030" s="7" t="s">
        <v>200</v>
      </c>
      <c r="F2030" s="7" t="s">
        <v>115</v>
      </c>
      <c r="G2030" s="7" t="s">
        <v>243</v>
      </c>
    </row>
    <row r="2031" spans="1:7" x14ac:dyDescent="0.2">
      <c r="A2031" s="7" t="s">
        <v>229</v>
      </c>
      <c r="B2031">
        <v>72217</v>
      </c>
      <c r="C2031">
        <v>30</v>
      </c>
      <c r="E2031" s="7" t="s">
        <v>200</v>
      </c>
      <c r="F2031" s="7" t="s">
        <v>115</v>
      </c>
      <c r="G2031" s="7" t="s">
        <v>243</v>
      </c>
    </row>
    <row r="2032" spans="1:7" x14ac:dyDescent="0.2">
      <c r="A2032" s="7" t="s">
        <v>229</v>
      </c>
      <c r="B2032">
        <v>72217</v>
      </c>
      <c r="C2032">
        <v>31</v>
      </c>
      <c r="E2032" s="7" t="s">
        <v>200</v>
      </c>
      <c r="F2032" s="7" t="s">
        <v>115</v>
      </c>
      <c r="G2032" s="7" t="s">
        <v>243</v>
      </c>
    </row>
    <row r="2033" spans="1:7" x14ac:dyDescent="0.2">
      <c r="A2033" s="7" t="s">
        <v>229</v>
      </c>
      <c r="B2033">
        <v>72217</v>
      </c>
      <c r="C2033">
        <v>32</v>
      </c>
      <c r="E2033" s="7" t="s">
        <v>200</v>
      </c>
      <c r="F2033">
        <v>11</v>
      </c>
      <c r="G2033" s="7" t="s">
        <v>243</v>
      </c>
    </row>
    <row r="2034" spans="1:7" x14ac:dyDescent="0.2">
      <c r="A2034" s="7" t="s">
        <v>229</v>
      </c>
      <c r="B2034">
        <v>72217</v>
      </c>
      <c r="C2034">
        <v>33</v>
      </c>
      <c r="E2034" s="7" t="s">
        <v>200</v>
      </c>
      <c r="F2034">
        <v>16</v>
      </c>
      <c r="G2034" s="7" t="s">
        <v>243</v>
      </c>
    </row>
    <row r="2035" spans="1:7" x14ac:dyDescent="0.2">
      <c r="A2035" s="7" t="s">
        <v>229</v>
      </c>
      <c r="B2035">
        <v>72217</v>
      </c>
      <c r="C2035">
        <v>34</v>
      </c>
      <c r="E2035" s="7" t="s">
        <v>200</v>
      </c>
      <c r="F2035" s="7" t="s">
        <v>115</v>
      </c>
      <c r="G2035" s="7" t="s">
        <v>243</v>
      </c>
    </row>
    <row r="2036" spans="1:7" x14ac:dyDescent="0.2">
      <c r="A2036" s="7" t="s">
        <v>229</v>
      </c>
      <c r="B2036">
        <v>72217</v>
      </c>
      <c r="C2036">
        <v>35</v>
      </c>
      <c r="D2036">
        <v>3</v>
      </c>
      <c r="E2036" s="7" t="s">
        <v>200</v>
      </c>
      <c r="F2036" s="7" t="s">
        <v>115</v>
      </c>
    </row>
    <row r="2037" spans="1:7" x14ac:dyDescent="0.2">
      <c r="A2037" s="7" t="s">
        <v>229</v>
      </c>
      <c r="B2037">
        <v>72217</v>
      </c>
      <c r="C2037">
        <v>36</v>
      </c>
      <c r="D2037">
        <v>3</v>
      </c>
      <c r="E2037" s="7" t="s">
        <v>200</v>
      </c>
      <c r="F2037" s="7" t="s">
        <v>115</v>
      </c>
    </row>
    <row r="2038" spans="1:7" x14ac:dyDescent="0.2">
      <c r="A2038" s="7" t="s">
        <v>229</v>
      </c>
      <c r="B2038">
        <v>72217</v>
      </c>
      <c r="C2038">
        <v>37</v>
      </c>
      <c r="D2038">
        <v>3</v>
      </c>
      <c r="E2038" s="7" t="s">
        <v>200</v>
      </c>
      <c r="F2038" s="7" t="s">
        <v>115</v>
      </c>
    </row>
    <row r="2039" spans="1:7" x14ac:dyDescent="0.2">
      <c r="A2039" s="7" t="s">
        <v>229</v>
      </c>
      <c r="B2039">
        <v>72217</v>
      </c>
      <c r="C2039">
        <v>38</v>
      </c>
      <c r="D2039">
        <v>3</v>
      </c>
      <c r="E2039" s="7" t="s">
        <v>200</v>
      </c>
      <c r="F2039" s="7">
        <v>32</v>
      </c>
    </row>
    <row r="2040" spans="1:7" x14ac:dyDescent="0.2">
      <c r="A2040" s="7" t="s">
        <v>229</v>
      </c>
      <c r="B2040">
        <v>72217</v>
      </c>
      <c r="C2040">
        <v>39</v>
      </c>
      <c r="D2040">
        <v>3</v>
      </c>
      <c r="E2040" s="7" t="s">
        <v>127</v>
      </c>
      <c r="F2040">
        <v>64</v>
      </c>
    </row>
    <row r="2041" spans="1:7" x14ac:dyDescent="0.2">
      <c r="A2041" s="7" t="s">
        <v>229</v>
      </c>
      <c r="B2041">
        <v>72217</v>
      </c>
      <c r="C2041">
        <v>40</v>
      </c>
      <c r="D2041">
        <v>3</v>
      </c>
      <c r="E2041" s="7" t="s">
        <v>127</v>
      </c>
      <c r="F2041">
        <v>128</v>
      </c>
    </row>
    <row r="2042" spans="1:7" x14ac:dyDescent="0.2">
      <c r="A2042" s="7" t="s">
        <v>229</v>
      </c>
      <c r="B2042">
        <v>72217</v>
      </c>
      <c r="C2042">
        <v>41</v>
      </c>
      <c r="D2042">
        <v>3</v>
      </c>
      <c r="E2042" s="7" t="s">
        <v>127</v>
      </c>
      <c r="F2042">
        <v>45</v>
      </c>
    </row>
    <row r="2043" spans="1:7" x14ac:dyDescent="0.2">
      <c r="A2043" s="7" t="s">
        <v>229</v>
      </c>
      <c r="B2043">
        <v>72217</v>
      </c>
      <c r="C2043">
        <v>42</v>
      </c>
      <c r="D2043">
        <v>3</v>
      </c>
      <c r="E2043" s="7" t="s">
        <v>127</v>
      </c>
      <c r="F2043">
        <v>8</v>
      </c>
    </row>
    <row r="2044" spans="1:7" x14ac:dyDescent="0.2">
      <c r="A2044" s="7" t="s">
        <v>229</v>
      </c>
      <c r="B2044">
        <v>72217</v>
      </c>
      <c r="C2044">
        <v>43</v>
      </c>
      <c r="D2044">
        <v>3</v>
      </c>
      <c r="E2044" s="7" t="s">
        <v>127</v>
      </c>
      <c r="F2044">
        <v>8</v>
      </c>
    </row>
    <row r="2045" spans="1:7" x14ac:dyDescent="0.2">
      <c r="A2045" s="7" t="s">
        <v>229</v>
      </c>
      <c r="B2045">
        <v>72217</v>
      </c>
      <c r="C2045">
        <v>44</v>
      </c>
      <c r="D2045">
        <v>3</v>
      </c>
      <c r="E2045" s="7" t="s">
        <v>127</v>
      </c>
      <c r="F2045">
        <v>180</v>
      </c>
    </row>
    <row r="2046" spans="1:7" x14ac:dyDescent="0.2">
      <c r="A2046" s="7" t="s">
        <v>229</v>
      </c>
      <c r="B2046">
        <v>72217</v>
      </c>
      <c r="C2046">
        <v>45</v>
      </c>
      <c r="D2046">
        <v>3</v>
      </c>
      <c r="E2046" s="7" t="s">
        <v>127</v>
      </c>
      <c r="F2046" s="7" t="s">
        <v>115</v>
      </c>
    </row>
    <row r="2047" spans="1:7" x14ac:dyDescent="0.2">
      <c r="A2047" s="7" t="s">
        <v>229</v>
      </c>
      <c r="B2047">
        <v>72217</v>
      </c>
      <c r="C2047">
        <v>46</v>
      </c>
      <c r="D2047">
        <v>3</v>
      </c>
      <c r="E2047" s="7" t="s">
        <v>127</v>
      </c>
      <c r="F2047" s="7">
        <v>45</v>
      </c>
    </row>
    <row r="2048" spans="1:7" x14ac:dyDescent="0.2">
      <c r="A2048" s="7" t="s">
        <v>229</v>
      </c>
      <c r="B2048">
        <v>72217</v>
      </c>
      <c r="C2048">
        <v>47</v>
      </c>
      <c r="D2048">
        <v>4</v>
      </c>
      <c r="E2048" s="7" t="s">
        <v>200</v>
      </c>
      <c r="F2048" s="7">
        <v>180</v>
      </c>
    </row>
    <row r="2049" spans="1:6" x14ac:dyDescent="0.2">
      <c r="A2049" s="7" t="s">
        <v>229</v>
      </c>
      <c r="B2049">
        <v>72217</v>
      </c>
      <c r="C2049">
        <v>48</v>
      </c>
      <c r="D2049">
        <v>4</v>
      </c>
      <c r="E2049" s="7" t="s">
        <v>127</v>
      </c>
      <c r="F2049" s="7" t="s">
        <v>115</v>
      </c>
    </row>
    <row r="2050" spans="1:6" x14ac:dyDescent="0.2">
      <c r="A2050" s="7" t="s">
        <v>229</v>
      </c>
      <c r="B2050">
        <v>72217</v>
      </c>
      <c r="C2050">
        <v>49</v>
      </c>
      <c r="D2050">
        <v>4</v>
      </c>
      <c r="E2050" s="7" t="s">
        <v>127</v>
      </c>
      <c r="F2050" s="7">
        <v>90</v>
      </c>
    </row>
    <row r="2051" spans="1:6" x14ac:dyDescent="0.2">
      <c r="A2051" s="7" t="s">
        <v>229</v>
      </c>
      <c r="B2051">
        <v>72217</v>
      </c>
      <c r="C2051">
        <v>50</v>
      </c>
      <c r="D2051">
        <v>4</v>
      </c>
      <c r="E2051" s="7" t="s">
        <v>127</v>
      </c>
      <c r="F2051" s="7">
        <v>32</v>
      </c>
    </row>
    <row r="2052" spans="1:6" x14ac:dyDescent="0.2">
      <c r="A2052" s="7" t="s">
        <v>229</v>
      </c>
      <c r="B2052">
        <v>72217</v>
      </c>
      <c r="C2052">
        <v>51</v>
      </c>
      <c r="D2052">
        <v>4</v>
      </c>
      <c r="E2052" s="7" t="s">
        <v>127</v>
      </c>
      <c r="F2052" s="7">
        <v>11</v>
      </c>
    </row>
    <row r="2053" spans="1:6" x14ac:dyDescent="0.2">
      <c r="A2053" s="7" t="s">
        <v>229</v>
      </c>
      <c r="B2053">
        <v>72217</v>
      </c>
      <c r="C2053">
        <v>52</v>
      </c>
      <c r="D2053">
        <v>4</v>
      </c>
      <c r="E2053" s="7" t="s">
        <v>127</v>
      </c>
      <c r="F2053" s="7" t="s">
        <v>115</v>
      </c>
    </row>
    <row r="2054" spans="1:6" x14ac:dyDescent="0.2">
      <c r="A2054" s="7" t="s">
        <v>229</v>
      </c>
      <c r="B2054">
        <v>72217</v>
      </c>
      <c r="C2054">
        <v>53</v>
      </c>
      <c r="D2054">
        <v>4</v>
      </c>
      <c r="E2054" s="7" t="s">
        <v>127</v>
      </c>
      <c r="F2054" s="7">
        <v>32</v>
      </c>
    </row>
    <row r="2055" spans="1:6" x14ac:dyDescent="0.2">
      <c r="A2055" s="7" t="s">
        <v>229</v>
      </c>
      <c r="B2055">
        <v>72217</v>
      </c>
      <c r="C2055">
        <v>54</v>
      </c>
      <c r="D2055">
        <v>4</v>
      </c>
      <c r="E2055" s="7" t="s">
        <v>127</v>
      </c>
      <c r="F2055" s="7" t="s">
        <v>115</v>
      </c>
    </row>
    <row r="2056" spans="1:6" x14ac:dyDescent="0.2">
      <c r="A2056" s="7" t="s">
        <v>229</v>
      </c>
      <c r="B2056">
        <v>72217</v>
      </c>
      <c r="C2056">
        <v>55</v>
      </c>
      <c r="D2056">
        <v>4</v>
      </c>
      <c r="E2056" s="7" t="s">
        <v>127</v>
      </c>
      <c r="F2056" s="7" t="s">
        <v>115</v>
      </c>
    </row>
    <row r="2057" spans="1:6" x14ac:dyDescent="0.2">
      <c r="A2057" s="7" t="s">
        <v>229</v>
      </c>
      <c r="B2057">
        <v>72217</v>
      </c>
      <c r="C2057">
        <v>56</v>
      </c>
      <c r="D2057">
        <v>4</v>
      </c>
      <c r="E2057" s="7" t="s">
        <v>200</v>
      </c>
      <c r="F2057">
        <v>64</v>
      </c>
    </row>
    <row r="2058" spans="1:6" x14ac:dyDescent="0.2">
      <c r="A2058" s="7" t="s">
        <v>229</v>
      </c>
      <c r="B2058">
        <v>72217</v>
      </c>
      <c r="C2058">
        <v>57</v>
      </c>
      <c r="D2058">
        <v>5</v>
      </c>
      <c r="E2058" s="7" t="s">
        <v>200</v>
      </c>
      <c r="F2058" s="7" t="s">
        <v>115</v>
      </c>
    </row>
    <row r="2059" spans="1:6" x14ac:dyDescent="0.2">
      <c r="A2059" s="7" t="s">
        <v>229</v>
      </c>
      <c r="B2059">
        <v>72217</v>
      </c>
      <c r="C2059">
        <v>58</v>
      </c>
      <c r="D2059">
        <v>5</v>
      </c>
      <c r="E2059" s="7" t="s">
        <v>200</v>
      </c>
      <c r="F2059" s="7" t="s">
        <v>115</v>
      </c>
    </row>
    <row r="2060" spans="1:6" x14ac:dyDescent="0.2">
      <c r="A2060" s="7" t="s">
        <v>229</v>
      </c>
      <c r="B2060">
        <v>72217</v>
      </c>
      <c r="C2060">
        <v>59</v>
      </c>
      <c r="D2060">
        <v>5</v>
      </c>
      <c r="E2060" s="7" t="s">
        <v>127</v>
      </c>
      <c r="F2060" s="7" t="s">
        <v>115</v>
      </c>
    </row>
    <row r="2061" spans="1:6" x14ac:dyDescent="0.2">
      <c r="A2061" s="7" t="s">
        <v>229</v>
      </c>
      <c r="B2061">
        <v>72217</v>
      </c>
      <c r="C2061">
        <v>60</v>
      </c>
      <c r="D2061">
        <v>5</v>
      </c>
      <c r="E2061" s="7" t="s">
        <v>127</v>
      </c>
      <c r="F2061">
        <v>45</v>
      </c>
    </row>
    <row r="2062" spans="1:6" x14ac:dyDescent="0.2">
      <c r="A2062" s="7" t="s">
        <v>229</v>
      </c>
      <c r="B2062">
        <v>72217</v>
      </c>
      <c r="C2062">
        <v>61</v>
      </c>
      <c r="D2062">
        <v>5</v>
      </c>
      <c r="E2062" s="7" t="s">
        <v>127</v>
      </c>
      <c r="F2062">
        <v>45</v>
      </c>
    </row>
    <row r="2063" spans="1:6" x14ac:dyDescent="0.2">
      <c r="A2063" s="7" t="s">
        <v>229</v>
      </c>
      <c r="B2063">
        <v>72217</v>
      </c>
      <c r="C2063">
        <v>62</v>
      </c>
      <c r="D2063">
        <v>5</v>
      </c>
      <c r="E2063" s="7" t="s">
        <v>127</v>
      </c>
      <c r="F2063">
        <v>45</v>
      </c>
    </row>
    <row r="2064" spans="1:6" x14ac:dyDescent="0.2">
      <c r="A2064" s="7" t="s">
        <v>229</v>
      </c>
      <c r="B2064">
        <v>72217</v>
      </c>
      <c r="C2064">
        <v>63</v>
      </c>
      <c r="D2064">
        <v>5</v>
      </c>
      <c r="E2064" s="7" t="s">
        <v>127</v>
      </c>
      <c r="F2064">
        <v>45</v>
      </c>
    </row>
    <row r="2065" spans="1:6" x14ac:dyDescent="0.2">
      <c r="A2065" s="7" t="s">
        <v>229</v>
      </c>
      <c r="B2065">
        <v>72217</v>
      </c>
      <c r="C2065">
        <v>64</v>
      </c>
      <c r="D2065">
        <v>5</v>
      </c>
      <c r="E2065" s="7" t="s">
        <v>127</v>
      </c>
      <c r="F2065">
        <v>11</v>
      </c>
    </row>
    <row r="2066" spans="1:6" x14ac:dyDescent="0.2">
      <c r="A2066" s="7" t="s">
        <v>229</v>
      </c>
      <c r="B2066">
        <v>72217</v>
      </c>
      <c r="C2066">
        <v>65</v>
      </c>
      <c r="D2066">
        <v>5</v>
      </c>
      <c r="E2066" s="7" t="s">
        <v>127</v>
      </c>
      <c r="F2066">
        <v>128</v>
      </c>
    </row>
    <row r="2067" spans="1:6" x14ac:dyDescent="0.2">
      <c r="A2067" s="7" t="s">
        <v>229</v>
      </c>
      <c r="B2067">
        <v>72217</v>
      </c>
      <c r="C2067">
        <v>66</v>
      </c>
      <c r="D2067">
        <v>5</v>
      </c>
      <c r="E2067" s="7" t="s">
        <v>200</v>
      </c>
      <c r="F2067" s="7" t="s">
        <v>115</v>
      </c>
    </row>
    <row r="2068" spans="1:6" x14ac:dyDescent="0.2">
      <c r="A2068" s="7" t="s">
        <v>229</v>
      </c>
      <c r="B2068">
        <v>72217</v>
      </c>
      <c r="C2068">
        <v>67</v>
      </c>
      <c r="D2068">
        <v>5</v>
      </c>
      <c r="E2068" s="7" t="s">
        <v>200</v>
      </c>
      <c r="F2068" s="7" t="s">
        <v>115</v>
      </c>
    </row>
    <row r="2069" spans="1:6" x14ac:dyDescent="0.2">
      <c r="A2069" s="7" t="s">
        <v>229</v>
      </c>
      <c r="B2069">
        <v>72217</v>
      </c>
      <c r="C2069">
        <v>68</v>
      </c>
      <c r="D2069">
        <v>5</v>
      </c>
      <c r="E2069" s="7" t="s">
        <v>200</v>
      </c>
      <c r="F2069" s="7" t="s">
        <v>115</v>
      </c>
    </row>
    <row r="2070" spans="1:6" x14ac:dyDescent="0.2">
      <c r="A2070" s="7" t="s">
        <v>229</v>
      </c>
      <c r="B2070">
        <v>72217</v>
      </c>
      <c r="C2070">
        <v>69</v>
      </c>
      <c r="D2070">
        <v>5</v>
      </c>
      <c r="E2070" s="7" t="s">
        <v>200</v>
      </c>
      <c r="F2070" s="7" t="s">
        <v>115</v>
      </c>
    </row>
    <row r="2071" spans="1:6" x14ac:dyDescent="0.2">
      <c r="A2071" s="7" t="s">
        <v>229</v>
      </c>
      <c r="B2071">
        <v>72217</v>
      </c>
      <c r="C2071">
        <v>70</v>
      </c>
      <c r="D2071">
        <v>5</v>
      </c>
      <c r="E2071" s="7" t="s">
        <v>200</v>
      </c>
      <c r="F2071" s="7" t="s">
        <v>115</v>
      </c>
    </row>
    <row r="2072" spans="1:6" x14ac:dyDescent="0.2">
      <c r="A2072" s="7" t="s">
        <v>229</v>
      </c>
      <c r="B2072">
        <v>72217</v>
      </c>
      <c r="C2072">
        <v>71</v>
      </c>
      <c r="D2072">
        <v>5</v>
      </c>
      <c r="E2072" s="7" t="s">
        <v>127</v>
      </c>
      <c r="F2072" s="7" t="s">
        <v>115</v>
      </c>
    </row>
    <row r="2073" spans="1:6" x14ac:dyDescent="0.2">
      <c r="A2073" s="7" t="s">
        <v>229</v>
      </c>
      <c r="B2073">
        <v>72217</v>
      </c>
      <c r="C2073">
        <v>72</v>
      </c>
      <c r="D2073">
        <v>5</v>
      </c>
      <c r="E2073" s="7" t="s">
        <v>127</v>
      </c>
      <c r="F2073">
        <v>180</v>
      </c>
    </row>
    <row r="2074" spans="1:6" x14ac:dyDescent="0.2">
      <c r="A2074" s="7" t="s">
        <v>229</v>
      </c>
      <c r="B2074">
        <v>72217</v>
      </c>
      <c r="C2074">
        <v>73</v>
      </c>
      <c r="D2074">
        <v>5</v>
      </c>
      <c r="E2074" s="7" t="s">
        <v>127</v>
      </c>
      <c r="F2074">
        <v>16</v>
      </c>
    </row>
    <row r="2075" spans="1:6" x14ac:dyDescent="0.2">
      <c r="A2075" s="7" t="s">
        <v>229</v>
      </c>
      <c r="B2075">
        <v>72217</v>
      </c>
      <c r="C2075">
        <v>74</v>
      </c>
      <c r="D2075">
        <v>5</v>
      </c>
      <c r="E2075" s="7" t="s">
        <v>127</v>
      </c>
      <c r="F2075">
        <v>8</v>
      </c>
    </row>
    <row r="2076" spans="1:6" x14ac:dyDescent="0.2">
      <c r="A2076" s="7" t="s">
        <v>229</v>
      </c>
      <c r="B2076">
        <v>72217</v>
      </c>
      <c r="C2076">
        <v>75</v>
      </c>
      <c r="D2076">
        <v>5</v>
      </c>
      <c r="E2076" s="7" t="s">
        <v>127</v>
      </c>
      <c r="F2076">
        <v>64</v>
      </c>
    </row>
    <row r="2077" spans="1:6" x14ac:dyDescent="0.2">
      <c r="A2077" s="7" t="s">
        <v>229</v>
      </c>
      <c r="B2077">
        <v>72217</v>
      </c>
      <c r="C2077">
        <v>76</v>
      </c>
      <c r="D2077">
        <v>5</v>
      </c>
      <c r="E2077" s="7" t="s">
        <v>127</v>
      </c>
      <c r="F2077" s="7" t="s">
        <v>115</v>
      </c>
    </row>
    <row r="2078" spans="1:6" x14ac:dyDescent="0.2">
      <c r="A2078" s="7" t="s">
        <v>229</v>
      </c>
      <c r="B2078">
        <v>72217</v>
      </c>
      <c r="C2078">
        <v>77</v>
      </c>
      <c r="D2078">
        <v>5</v>
      </c>
      <c r="E2078" s="7" t="s">
        <v>127</v>
      </c>
      <c r="F2078" s="7">
        <v>32</v>
      </c>
    </row>
    <row r="2079" spans="1:6" x14ac:dyDescent="0.2">
      <c r="A2079" s="7" t="s">
        <v>229</v>
      </c>
      <c r="B2079">
        <v>72217</v>
      </c>
      <c r="C2079">
        <v>78</v>
      </c>
      <c r="D2079">
        <v>5</v>
      </c>
      <c r="E2079" s="7" t="s">
        <v>200</v>
      </c>
      <c r="F2079" s="7" t="s">
        <v>115</v>
      </c>
    </row>
    <row r="2080" spans="1:6" x14ac:dyDescent="0.2">
      <c r="A2080" s="7" t="s">
        <v>229</v>
      </c>
      <c r="B2080">
        <v>72217</v>
      </c>
      <c r="C2080">
        <v>79</v>
      </c>
      <c r="D2080">
        <v>6</v>
      </c>
      <c r="E2080" s="7" t="s">
        <v>127</v>
      </c>
      <c r="F2080" s="7">
        <v>16</v>
      </c>
    </row>
    <row r="2081" spans="1:6" x14ac:dyDescent="0.2">
      <c r="A2081" s="7" t="s">
        <v>229</v>
      </c>
      <c r="B2081">
        <v>72217</v>
      </c>
      <c r="C2081">
        <v>80</v>
      </c>
      <c r="D2081">
        <v>6</v>
      </c>
      <c r="E2081" s="7" t="s">
        <v>127</v>
      </c>
      <c r="F2081" s="7">
        <v>32</v>
      </c>
    </row>
    <row r="2082" spans="1:6" x14ac:dyDescent="0.2">
      <c r="A2082" s="7" t="s">
        <v>229</v>
      </c>
      <c r="B2082">
        <v>72217</v>
      </c>
      <c r="C2082">
        <v>81</v>
      </c>
      <c r="D2082">
        <v>6</v>
      </c>
      <c r="E2082" s="7" t="s">
        <v>127</v>
      </c>
      <c r="F2082" s="7">
        <v>16</v>
      </c>
    </row>
    <row r="2083" spans="1:6" x14ac:dyDescent="0.2">
      <c r="A2083" s="7" t="s">
        <v>229</v>
      </c>
      <c r="B2083">
        <v>72217</v>
      </c>
      <c r="C2083">
        <v>82</v>
      </c>
      <c r="D2083">
        <v>6</v>
      </c>
      <c r="E2083" s="7" t="s">
        <v>127</v>
      </c>
      <c r="F2083" s="7">
        <v>5.6</v>
      </c>
    </row>
    <row r="2084" spans="1:6" x14ac:dyDescent="0.2">
      <c r="A2084" s="7" t="s">
        <v>229</v>
      </c>
      <c r="B2084">
        <v>72217</v>
      </c>
      <c r="C2084">
        <v>83</v>
      </c>
      <c r="D2084">
        <v>6</v>
      </c>
      <c r="E2084" s="7" t="s">
        <v>127</v>
      </c>
      <c r="F2084" s="7">
        <v>90</v>
      </c>
    </row>
    <row r="2085" spans="1:6" x14ac:dyDescent="0.2">
      <c r="A2085" s="7" t="s">
        <v>229</v>
      </c>
      <c r="B2085">
        <v>72217</v>
      </c>
      <c r="C2085">
        <v>84</v>
      </c>
      <c r="D2085">
        <v>6</v>
      </c>
      <c r="E2085" s="7" t="s">
        <v>127</v>
      </c>
      <c r="F2085" s="7" t="s">
        <v>115</v>
      </c>
    </row>
    <row r="2086" spans="1:6" x14ac:dyDescent="0.2">
      <c r="A2086" s="7" t="s">
        <v>229</v>
      </c>
      <c r="B2086">
        <v>72217</v>
      </c>
      <c r="C2086">
        <v>85</v>
      </c>
      <c r="D2086">
        <v>6</v>
      </c>
      <c r="E2086" s="7" t="s">
        <v>200</v>
      </c>
      <c r="F2086" s="7">
        <v>128</v>
      </c>
    </row>
    <row r="2087" spans="1:6" x14ac:dyDescent="0.2">
      <c r="A2087" s="7" t="s">
        <v>229</v>
      </c>
      <c r="B2087">
        <v>72217</v>
      </c>
      <c r="C2087">
        <v>86</v>
      </c>
      <c r="D2087">
        <v>6</v>
      </c>
      <c r="E2087" s="7" t="s">
        <v>200</v>
      </c>
      <c r="F2087" s="7" t="s">
        <v>115</v>
      </c>
    </row>
    <row r="2088" spans="1:6" x14ac:dyDescent="0.2">
      <c r="A2088" s="7" t="s">
        <v>229</v>
      </c>
      <c r="B2088">
        <v>72217</v>
      </c>
      <c r="C2088">
        <v>87</v>
      </c>
      <c r="D2088">
        <v>7</v>
      </c>
      <c r="E2088" s="7" t="s">
        <v>127</v>
      </c>
      <c r="F2088" s="7">
        <v>5.6</v>
      </c>
    </row>
    <row r="2089" spans="1:6" x14ac:dyDescent="0.2">
      <c r="A2089" s="7" t="s">
        <v>229</v>
      </c>
      <c r="B2089">
        <v>72217</v>
      </c>
      <c r="C2089">
        <v>88</v>
      </c>
      <c r="D2089">
        <v>7</v>
      </c>
      <c r="E2089" s="7" t="s">
        <v>127</v>
      </c>
      <c r="F2089" s="7">
        <v>64</v>
      </c>
    </row>
    <row r="2090" spans="1:6" x14ac:dyDescent="0.2">
      <c r="A2090" s="7" t="s">
        <v>229</v>
      </c>
      <c r="B2090">
        <v>72217</v>
      </c>
      <c r="C2090">
        <v>89</v>
      </c>
      <c r="D2090">
        <v>7</v>
      </c>
      <c r="E2090" s="7" t="s">
        <v>127</v>
      </c>
      <c r="F2090" s="7">
        <v>11</v>
      </c>
    </row>
    <row r="2091" spans="1:6" x14ac:dyDescent="0.2">
      <c r="A2091" s="7" t="s">
        <v>229</v>
      </c>
      <c r="B2091">
        <v>72217</v>
      </c>
      <c r="C2091">
        <v>90</v>
      </c>
      <c r="D2091">
        <v>7</v>
      </c>
      <c r="E2091" s="7" t="s">
        <v>127</v>
      </c>
      <c r="F2091" s="7">
        <v>45</v>
      </c>
    </row>
    <row r="2092" spans="1:6" x14ac:dyDescent="0.2">
      <c r="A2092" s="7" t="s">
        <v>229</v>
      </c>
      <c r="B2092">
        <v>72217</v>
      </c>
      <c r="C2092">
        <v>91</v>
      </c>
      <c r="D2092">
        <v>7</v>
      </c>
      <c r="E2092" s="7" t="s">
        <v>127</v>
      </c>
      <c r="F2092" s="7">
        <v>8</v>
      </c>
    </row>
    <row r="2093" spans="1:6" x14ac:dyDescent="0.2">
      <c r="A2093" s="7" t="s">
        <v>229</v>
      </c>
      <c r="B2093">
        <v>72217</v>
      </c>
      <c r="C2093">
        <v>92</v>
      </c>
      <c r="D2093">
        <v>7</v>
      </c>
      <c r="E2093" s="7" t="s">
        <v>127</v>
      </c>
      <c r="F2093" s="7">
        <v>64</v>
      </c>
    </row>
    <row r="2094" spans="1:6" x14ac:dyDescent="0.2">
      <c r="A2094" s="7" t="s">
        <v>229</v>
      </c>
      <c r="B2094">
        <v>72217</v>
      </c>
      <c r="C2094">
        <v>93</v>
      </c>
      <c r="D2094">
        <v>7</v>
      </c>
      <c r="E2094" s="7" t="s">
        <v>127</v>
      </c>
      <c r="F2094" s="7">
        <v>16</v>
      </c>
    </row>
    <row r="2095" spans="1:6" x14ac:dyDescent="0.2">
      <c r="A2095" s="7" t="s">
        <v>229</v>
      </c>
      <c r="B2095">
        <v>72217</v>
      </c>
      <c r="C2095">
        <v>94</v>
      </c>
      <c r="D2095">
        <v>7</v>
      </c>
      <c r="E2095" s="7" t="s">
        <v>200</v>
      </c>
      <c r="F2095" s="7" t="s">
        <v>115</v>
      </c>
    </row>
    <row r="2096" spans="1:6" x14ac:dyDescent="0.2">
      <c r="A2096" s="7" t="s">
        <v>229</v>
      </c>
      <c r="B2096">
        <v>72217</v>
      </c>
      <c r="C2096">
        <v>95</v>
      </c>
      <c r="D2096">
        <v>7</v>
      </c>
      <c r="E2096" s="7" t="s">
        <v>200</v>
      </c>
      <c r="F2096" s="7" t="s">
        <v>115</v>
      </c>
    </row>
    <row r="2097" spans="1:6" x14ac:dyDescent="0.2">
      <c r="A2097" s="7" t="s">
        <v>229</v>
      </c>
      <c r="B2097">
        <v>72217</v>
      </c>
      <c r="C2097">
        <v>96</v>
      </c>
      <c r="D2097">
        <v>7</v>
      </c>
      <c r="E2097" s="7" t="s">
        <v>200</v>
      </c>
      <c r="F2097" s="7" t="s">
        <v>115</v>
      </c>
    </row>
    <row r="2098" spans="1:6" x14ac:dyDescent="0.2">
      <c r="A2098" s="7" t="s">
        <v>229</v>
      </c>
      <c r="B2098">
        <v>72217</v>
      </c>
      <c r="C2098">
        <v>97</v>
      </c>
      <c r="D2098">
        <v>7</v>
      </c>
      <c r="E2098" s="7" t="s">
        <v>127</v>
      </c>
      <c r="F2098">
        <v>16</v>
      </c>
    </row>
    <row r="2099" spans="1:6" x14ac:dyDescent="0.2">
      <c r="A2099" s="7" t="s">
        <v>229</v>
      </c>
      <c r="B2099">
        <v>72217</v>
      </c>
      <c r="C2099">
        <v>98</v>
      </c>
      <c r="D2099">
        <v>7</v>
      </c>
      <c r="E2099" s="7" t="s">
        <v>127</v>
      </c>
      <c r="F2099">
        <v>8</v>
      </c>
    </row>
    <row r="2100" spans="1:6" x14ac:dyDescent="0.2">
      <c r="A2100" s="7" t="s">
        <v>229</v>
      </c>
      <c r="B2100">
        <v>72217</v>
      </c>
      <c r="C2100">
        <v>99</v>
      </c>
      <c r="D2100">
        <v>7</v>
      </c>
      <c r="E2100" s="7" t="s">
        <v>127</v>
      </c>
      <c r="F2100">
        <v>45</v>
      </c>
    </row>
    <row r="2101" spans="1:6" x14ac:dyDescent="0.2">
      <c r="A2101" s="7" t="s">
        <v>229</v>
      </c>
      <c r="B2101">
        <v>72217</v>
      </c>
      <c r="C2101">
        <v>100</v>
      </c>
      <c r="D2101">
        <v>7</v>
      </c>
      <c r="E2101" s="7" t="s">
        <v>127</v>
      </c>
      <c r="F2101">
        <v>64</v>
      </c>
    </row>
    <row r="2102" spans="1:6" x14ac:dyDescent="0.2">
      <c r="A2102" s="7" t="s">
        <v>282</v>
      </c>
      <c r="B2102">
        <v>73017</v>
      </c>
      <c r="C2102">
        <v>1</v>
      </c>
      <c r="D2102">
        <v>1</v>
      </c>
      <c r="E2102" s="7" t="s">
        <v>200</v>
      </c>
      <c r="F2102" s="7" t="s">
        <v>115</v>
      </c>
    </row>
    <row r="2103" spans="1:6" x14ac:dyDescent="0.2">
      <c r="A2103" s="7" t="s">
        <v>282</v>
      </c>
      <c r="B2103">
        <v>73017</v>
      </c>
      <c r="C2103">
        <v>2</v>
      </c>
      <c r="D2103">
        <v>1</v>
      </c>
      <c r="E2103" s="7" t="s">
        <v>200</v>
      </c>
      <c r="F2103" s="7">
        <v>5.6</v>
      </c>
    </row>
    <row r="2104" spans="1:6" x14ac:dyDescent="0.2">
      <c r="A2104" s="7" t="s">
        <v>282</v>
      </c>
      <c r="B2104">
        <v>73017</v>
      </c>
      <c r="C2104">
        <v>3</v>
      </c>
      <c r="D2104">
        <v>1</v>
      </c>
      <c r="E2104" s="7" t="s">
        <v>200</v>
      </c>
      <c r="F2104" s="7">
        <v>64</v>
      </c>
    </row>
    <row r="2105" spans="1:6" x14ac:dyDescent="0.2">
      <c r="A2105" s="7" t="s">
        <v>282</v>
      </c>
      <c r="B2105">
        <v>73017</v>
      </c>
      <c r="C2105">
        <v>4</v>
      </c>
      <c r="D2105">
        <v>1</v>
      </c>
      <c r="E2105" s="7" t="s">
        <v>200</v>
      </c>
      <c r="F2105" s="7" t="s">
        <v>115</v>
      </c>
    </row>
    <row r="2106" spans="1:6" x14ac:dyDescent="0.2">
      <c r="A2106" s="7" t="s">
        <v>282</v>
      </c>
      <c r="B2106">
        <v>73017</v>
      </c>
      <c r="C2106">
        <v>5</v>
      </c>
      <c r="D2106">
        <v>1</v>
      </c>
      <c r="E2106" s="7" t="s">
        <v>200</v>
      </c>
      <c r="F2106" s="7" t="s">
        <v>115</v>
      </c>
    </row>
    <row r="2107" spans="1:6" x14ac:dyDescent="0.2">
      <c r="A2107" s="7" t="s">
        <v>282</v>
      </c>
      <c r="B2107">
        <v>73017</v>
      </c>
      <c r="C2107">
        <v>6</v>
      </c>
      <c r="D2107">
        <v>1</v>
      </c>
      <c r="E2107" s="7" t="s">
        <v>200</v>
      </c>
      <c r="F2107">
        <v>32</v>
      </c>
    </row>
    <row r="2108" spans="1:6" x14ac:dyDescent="0.2">
      <c r="A2108" s="7" t="s">
        <v>282</v>
      </c>
      <c r="B2108">
        <v>73017</v>
      </c>
      <c r="C2108">
        <v>7</v>
      </c>
      <c r="D2108">
        <v>1</v>
      </c>
      <c r="E2108" s="7" t="s">
        <v>200</v>
      </c>
      <c r="F2108" s="7" t="s">
        <v>115</v>
      </c>
    </row>
    <row r="2109" spans="1:6" x14ac:dyDescent="0.2">
      <c r="A2109" s="7" t="s">
        <v>282</v>
      </c>
      <c r="B2109">
        <v>73017</v>
      </c>
      <c r="C2109">
        <v>8</v>
      </c>
      <c r="D2109">
        <v>1</v>
      </c>
      <c r="E2109" s="7" t="s">
        <v>200</v>
      </c>
      <c r="F2109" s="7" t="s">
        <v>115</v>
      </c>
    </row>
    <row r="2110" spans="1:6" x14ac:dyDescent="0.2">
      <c r="A2110" s="7" t="s">
        <v>282</v>
      </c>
      <c r="B2110">
        <v>73017</v>
      </c>
      <c r="C2110">
        <v>9</v>
      </c>
      <c r="D2110">
        <v>1</v>
      </c>
      <c r="E2110" s="7" t="s">
        <v>200</v>
      </c>
      <c r="F2110" s="7" t="s">
        <v>115</v>
      </c>
    </row>
    <row r="2111" spans="1:6" x14ac:dyDescent="0.2">
      <c r="A2111" s="7" t="s">
        <v>282</v>
      </c>
      <c r="B2111">
        <v>73017</v>
      </c>
      <c r="C2111">
        <v>10</v>
      </c>
      <c r="D2111">
        <v>1</v>
      </c>
      <c r="E2111" s="7" t="s">
        <v>200</v>
      </c>
      <c r="F2111" s="7" t="s">
        <v>115</v>
      </c>
    </row>
    <row r="2112" spans="1:6" x14ac:dyDescent="0.2">
      <c r="A2112" s="7" t="s">
        <v>282</v>
      </c>
      <c r="B2112">
        <v>73017</v>
      </c>
      <c r="C2112">
        <v>11</v>
      </c>
      <c r="D2112">
        <v>1</v>
      </c>
      <c r="E2112" s="7" t="s">
        <v>200</v>
      </c>
      <c r="F2112" s="7" t="s">
        <v>115</v>
      </c>
    </row>
    <row r="2113" spans="1:7" x14ac:dyDescent="0.2">
      <c r="A2113" s="7" t="s">
        <v>282</v>
      </c>
      <c r="B2113">
        <v>73017</v>
      </c>
      <c r="C2113">
        <v>12</v>
      </c>
      <c r="D2113">
        <v>1</v>
      </c>
      <c r="E2113" s="7" t="s">
        <v>200</v>
      </c>
      <c r="F2113" s="7" t="s">
        <v>115</v>
      </c>
    </row>
    <row r="2114" spans="1:7" x14ac:dyDescent="0.2">
      <c r="A2114" s="7" t="s">
        <v>282</v>
      </c>
      <c r="B2114">
        <v>73017</v>
      </c>
      <c r="C2114">
        <v>13</v>
      </c>
      <c r="D2114">
        <v>1</v>
      </c>
      <c r="E2114" s="7" t="s">
        <v>200</v>
      </c>
      <c r="F2114" s="7" t="s">
        <v>115</v>
      </c>
    </row>
    <row r="2115" spans="1:7" x14ac:dyDescent="0.2">
      <c r="A2115" s="7" t="s">
        <v>282</v>
      </c>
      <c r="B2115">
        <v>73017</v>
      </c>
      <c r="C2115">
        <v>14</v>
      </c>
      <c r="D2115">
        <v>1</v>
      </c>
      <c r="E2115" s="7" t="s">
        <v>200</v>
      </c>
      <c r="F2115" s="7" t="s">
        <v>115</v>
      </c>
    </row>
    <row r="2116" spans="1:7" x14ac:dyDescent="0.2">
      <c r="A2116" s="7" t="s">
        <v>282</v>
      </c>
      <c r="B2116">
        <v>73017</v>
      </c>
      <c r="C2116">
        <v>15</v>
      </c>
      <c r="D2116">
        <v>1</v>
      </c>
      <c r="E2116" s="7" t="s">
        <v>127</v>
      </c>
      <c r="F2116" s="7" t="s">
        <v>115</v>
      </c>
    </row>
    <row r="2117" spans="1:7" x14ac:dyDescent="0.2">
      <c r="A2117" s="7" t="s">
        <v>282</v>
      </c>
      <c r="B2117">
        <v>73017</v>
      </c>
      <c r="C2117">
        <v>16</v>
      </c>
      <c r="D2117">
        <v>1</v>
      </c>
      <c r="E2117" s="7" t="s">
        <v>127</v>
      </c>
      <c r="F2117" s="7" t="s">
        <v>115</v>
      </c>
    </row>
    <row r="2118" spans="1:7" x14ac:dyDescent="0.2">
      <c r="A2118" s="7" t="s">
        <v>282</v>
      </c>
      <c r="B2118">
        <v>73017</v>
      </c>
      <c r="C2118">
        <v>17</v>
      </c>
      <c r="D2118">
        <v>1</v>
      </c>
      <c r="E2118" s="7" t="s">
        <v>127</v>
      </c>
      <c r="F2118" s="7" t="s">
        <v>115</v>
      </c>
    </row>
    <row r="2119" spans="1:7" x14ac:dyDescent="0.2">
      <c r="A2119" s="7" t="s">
        <v>282</v>
      </c>
      <c r="B2119">
        <v>73017</v>
      </c>
      <c r="C2119">
        <v>18</v>
      </c>
      <c r="D2119">
        <v>1</v>
      </c>
      <c r="E2119" s="7" t="s">
        <v>127</v>
      </c>
      <c r="F2119" s="7" t="s">
        <v>115</v>
      </c>
    </row>
    <row r="2120" spans="1:7" x14ac:dyDescent="0.2">
      <c r="A2120" s="7" t="s">
        <v>282</v>
      </c>
      <c r="B2120">
        <v>73017</v>
      </c>
      <c r="C2120">
        <v>19</v>
      </c>
      <c r="D2120">
        <v>1</v>
      </c>
      <c r="E2120" s="7" t="s">
        <v>127</v>
      </c>
      <c r="F2120" s="7">
        <v>11</v>
      </c>
    </row>
    <row r="2121" spans="1:7" x14ac:dyDescent="0.2">
      <c r="A2121" s="7" t="s">
        <v>282</v>
      </c>
      <c r="B2121">
        <v>73017</v>
      </c>
      <c r="C2121">
        <v>20</v>
      </c>
      <c r="D2121">
        <v>1</v>
      </c>
      <c r="E2121" s="7" t="s">
        <v>200</v>
      </c>
      <c r="F2121">
        <v>22.6</v>
      </c>
    </row>
    <row r="2122" spans="1:7" x14ac:dyDescent="0.2">
      <c r="A2122" s="7" t="s">
        <v>282</v>
      </c>
      <c r="B2122">
        <v>73017</v>
      </c>
      <c r="C2122">
        <v>21</v>
      </c>
      <c r="D2122">
        <v>1</v>
      </c>
      <c r="E2122" s="7" t="s">
        <v>200</v>
      </c>
      <c r="F2122">
        <v>8</v>
      </c>
    </row>
    <row r="2123" spans="1:7" x14ac:dyDescent="0.2">
      <c r="A2123" s="7" t="s">
        <v>282</v>
      </c>
      <c r="B2123">
        <v>73017</v>
      </c>
      <c r="C2123">
        <v>22</v>
      </c>
      <c r="D2123">
        <v>1</v>
      </c>
      <c r="E2123" s="7" t="s">
        <v>200</v>
      </c>
      <c r="F2123" s="7" t="s">
        <v>115</v>
      </c>
    </row>
    <row r="2124" spans="1:7" x14ac:dyDescent="0.2">
      <c r="A2124" s="7" t="s">
        <v>282</v>
      </c>
      <c r="B2124">
        <v>73017</v>
      </c>
      <c r="C2124">
        <v>23</v>
      </c>
      <c r="D2124">
        <v>1</v>
      </c>
      <c r="E2124" s="7" t="s">
        <v>200</v>
      </c>
      <c r="F2124" s="7" t="s">
        <v>115</v>
      </c>
    </row>
    <row r="2125" spans="1:7" x14ac:dyDescent="0.2">
      <c r="A2125" s="7" t="s">
        <v>282</v>
      </c>
      <c r="B2125">
        <v>73017</v>
      </c>
      <c r="C2125">
        <v>24</v>
      </c>
      <c r="D2125">
        <v>2</v>
      </c>
      <c r="E2125" s="7" t="s">
        <v>200</v>
      </c>
      <c r="F2125" s="7" t="s">
        <v>115</v>
      </c>
      <c r="G2125" s="7" t="s">
        <v>297</v>
      </c>
    </row>
    <row r="2126" spans="1:7" x14ac:dyDescent="0.2">
      <c r="A2126" s="7" t="s">
        <v>282</v>
      </c>
      <c r="B2126">
        <v>73017</v>
      </c>
      <c r="C2126">
        <v>25</v>
      </c>
      <c r="D2126">
        <v>2</v>
      </c>
      <c r="E2126" s="7" t="s">
        <v>200</v>
      </c>
      <c r="F2126">
        <v>5.6</v>
      </c>
    </row>
    <row r="2127" spans="1:7" x14ac:dyDescent="0.2">
      <c r="A2127" s="7" t="s">
        <v>282</v>
      </c>
      <c r="B2127">
        <v>73017</v>
      </c>
      <c r="C2127">
        <v>26</v>
      </c>
      <c r="D2127">
        <v>2</v>
      </c>
      <c r="E2127" s="7" t="s">
        <v>200</v>
      </c>
      <c r="F2127" s="7" t="s">
        <v>115</v>
      </c>
    </row>
    <row r="2128" spans="1:7" x14ac:dyDescent="0.2">
      <c r="A2128" s="7" t="s">
        <v>282</v>
      </c>
      <c r="B2128">
        <v>73017</v>
      </c>
      <c r="C2128">
        <v>27</v>
      </c>
      <c r="D2128">
        <v>2</v>
      </c>
      <c r="E2128" s="7" t="s">
        <v>200</v>
      </c>
      <c r="F2128" s="7" t="s">
        <v>115</v>
      </c>
    </row>
    <row r="2129" spans="1:6" x14ac:dyDescent="0.2">
      <c r="A2129" s="7" t="s">
        <v>282</v>
      </c>
      <c r="B2129">
        <v>73017</v>
      </c>
      <c r="C2129">
        <v>28</v>
      </c>
      <c r="D2129">
        <v>2</v>
      </c>
      <c r="E2129" s="7" t="s">
        <v>200</v>
      </c>
      <c r="F2129" s="7" t="s">
        <v>115</v>
      </c>
    </row>
    <row r="2130" spans="1:6" x14ac:dyDescent="0.2">
      <c r="A2130" s="7" t="s">
        <v>282</v>
      </c>
      <c r="B2130">
        <v>73017</v>
      </c>
      <c r="C2130">
        <v>29</v>
      </c>
      <c r="D2130">
        <v>2</v>
      </c>
      <c r="E2130" s="7" t="s">
        <v>200</v>
      </c>
      <c r="F2130">
        <v>5.6</v>
      </c>
    </row>
    <row r="2131" spans="1:6" x14ac:dyDescent="0.2">
      <c r="A2131" s="7" t="s">
        <v>282</v>
      </c>
      <c r="B2131">
        <v>73017</v>
      </c>
      <c r="C2131">
        <v>30</v>
      </c>
      <c r="D2131">
        <v>2</v>
      </c>
      <c r="E2131" s="7" t="s">
        <v>200</v>
      </c>
      <c r="F2131">
        <v>45</v>
      </c>
    </row>
    <row r="2132" spans="1:6" x14ac:dyDescent="0.2">
      <c r="A2132" s="7" t="s">
        <v>282</v>
      </c>
      <c r="B2132">
        <v>73017</v>
      </c>
      <c r="C2132">
        <v>31</v>
      </c>
      <c r="D2132">
        <v>2</v>
      </c>
      <c r="E2132" s="7" t="s">
        <v>200</v>
      </c>
      <c r="F2132">
        <v>32</v>
      </c>
    </row>
    <row r="2133" spans="1:6" x14ac:dyDescent="0.2">
      <c r="A2133" s="7" t="s">
        <v>282</v>
      </c>
      <c r="B2133">
        <v>73017</v>
      </c>
      <c r="C2133">
        <v>32</v>
      </c>
      <c r="D2133">
        <v>2</v>
      </c>
      <c r="E2133" s="7" t="s">
        <v>127</v>
      </c>
      <c r="F2133" s="7" t="s">
        <v>115</v>
      </c>
    </row>
    <row r="2134" spans="1:6" x14ac:dyDescent="0.2">
      <c r="A2134" s="7" t="s">
        <v>282</v>
      </c>
      <c r="B2134">
        <v>73017</v>
      </c>
      <c r="C2134">
        <v>33</v>
      </c>
      <c r="D2134">
        <v>2</v>
      </c>
      <c r="E2134" s="7" t="s">
        <v>127</v>
      </c>
      <c r="F2134" s="7" t="s">
        <v>115</v>
      </c>
    </row>
    <row r="2135" spans="1:6" x14ac:dyDescent="0.2">
      <c r="A2135" s="7" t="s">
        <v>282</v>
      </c>
      <c r="B2135">
        <v>73017</v>
      </c>
      <c r="C2135">
        <v>34</v>
      </c>
      <c r="D2135">
        <v>2</v>
      </c>
      <c r="E2135" s="7" t="s">
        <v>127</v>
      </c>
      <c r="F2135" s="7">
        <v>128</v>
      </c>
    </row>
    <row r="2136" spans="1:6" x14ac:dyDescent="0.2">
      <c r="A2136" s="7" t="s">
        <v>282</v>
      </c>
      <c r="B2136">
        <v>73017</v>
      </c>
      <c r="C2136">
        <v>35</v>
      </c>
      <c r="D2136">
        <v>2</v>
      </c>
      <c r="E2136" s="7" t="s">
        <v>127</v>
      </c>
      <c r="F2136" s="7" t="s">
        <v>115</v>
      </c>
    </row>
    <row r="2137" spans="1:6" x14ac:dyDescent="0.2">
      <c r="A2137" s="7" t="s">
        <v>282</v>
      </c>
      <c r="B2137">
        <v>73017</v>
      </c>
      <c r="C2137">
        <v>36</v>
      </c>
      <c r="D2137">
        <v>2</v>
      </c>
      <c r="E2137" s="7" t="s">
        <v>200</v>
      </c>
      <c r="F2137" s="7" t="s">
        <v>115</v>
      </c>
    </row>
    <row r="2138" spans="1:6" x14ac:dyDescent="0.2">
      <c r="A2138" s="7" t="s">
        <v>282</v>
      </c>
      <c r="B2138">
        <v>73017</v>
      </c>
      <c r="C2138">
        <v>37</v>
      </c>
      <c r="D2138">
        <v>2</v>
      </c>
      <c r="E2138" s="7" t="s">
        <v>200</v>
      </c>
      <c r="F2138" s="7" t="s">
        <v>115</v>
      </c>
    </row>
    <row r="2139" spans="1:6" x14ac:dyDescent="0.2">
      <c r="A2139" s="7" t="s">
        <v>282</v>
      </c>
      <c r="B2139">
        <v>73017</v>
      </c>
      <c r="C2139">
        <v>38</v>
      </c>
      <c r="D2139">
        <v>2</v>
      </c>
      <c r="E2139" s="7" t="s">
        <v>200</v>
      </c>
      <c r="F2139">
        <v>16</v>
      </c>
    </row>
    <row r="2140" spans="1:6" x14ac:dyDescent="0.2">
      <c r="A2140" s="7" t="s">
        <v>282</v>
      </c>
      <c r="B2140">
        <v>73017</v>
      </c>
      <c r="C2140">
        <v>39</v>
      </c>
      <c r="D2140">
        <v>2</v>
      </c>
      <c r="E2140" s="7" t="s">
        <v>200</v>
      </c>
      <c r="F2140" s="7" t="s">
        <v>115</v>
      </c>
    </row>
    <row r="2141" spans="1:6" x14ac:dyDescent="0.2">
      <c r="A2141" s="7" t="s">
        <v>282</v>
      </c>
      <c r="B2141">
        <v>73017</v>
      </c>
      <c r="C2141">
        <v>40</v>
      </c>
      <c r="D2141">
        <v>2</v>
      </c>
      <c r="E2141" s="7" t="s">
        <v>200</v>
      </c>
      <c r="F2141">
        <v>16</v>
      </c>
    </row>
    <row r="2142" spans="1:6" x14ac:dyDescent="0.2">
      <c r="A2142" s="7" t="s">
        <v>282</v>
      </c>
      <c r="B2142">
        <v>73017</v>
      </c>
      <c r="C2142">
        <v>41</v>
      </c>
      <c r="D2142">
        <v>2</v>
      </c>
      <c r="E2142" s="7" t="s">
        <v>200</v>
      </c>
      <c r="F2142">
        <v>22.6</v>
      </c>
    </row>
    <row r="2143" spans="1:6" x14ac:dyDescent="0.2">
      <c r="A2143" s="7" t="s">
        <v>282</v>
      </c>
      <c r="B2143">
        <v>73017</v>
      </c>
      <c r="C2143">
        <v>42</v>
      </c>
      <c r="D2143">
        <v>2</v>
      </c>
      <c r="E2143" s="7" t="s">
        <v>200</v>
      </c>
      <c r="F2143" s="7" t="s">
        <v>115</v>
      </c>
    </row>
    <row r="2144" spans="1:6" x14ac:dyDescent="0.2">
      <c r="A2144" s="7" t="s">
        <v>282</v>
      </c>
      <c r="B2144">
        <v>73017</v>
      </c>
      <c r="C2144">
        <v>43</v>
      </c>
      <c r="D2144">
        <v>2</v>
      </c>
      <c r="E2144" s="7" t="s">
        <v>200</v>
      </c>
      <c r="F2144" s="7" t="s">
        <v>115</v>
      </c>
    </row>
    <row r="2145" spans="1:6" x14ac:dyDescent="0.2">
      <c r="A2145" s="7" t="s">
        <v>282</v>
      </c>
      <c r="B2145">
        <v>73017</v>
      </c>
      <c r="C2145">
        <v>44</v>
      </c>
      <c r="D2145">
        <v>2</v>
      </c>
      <c r="E2145" s="7" t="s">
        <v>200</v>
      </c>
      <c r="F2145" s="7" t="s">
        <v>115</v>
      </c>
    </row>
    <row r="2146" spans="1:6" x14ac:dyDescent="0.2">
      <c r="A2146" s="7" t="s">
        <v>282</v>
      </c>
      <c r="B2146">
        <v>73017</v>
      </c>
      <c r="C2146">
        <v>45</v>
      </c>
      <c r="D2146">
        <v>2</v>
      </c>
      <c r="E2146" s="7" t="s">
        <v>200</v>
      </c>
      <c r="F2146" s="7" t="s">
        <v>115</v>
      </c>
    </row>
    <row r="2147" spans="1:6" x14ac:dyDescent="0.2">
      <c r="A2147" s="7" t="s">
        <v>282</v>
      </c>
      <c r="B2147">
        <v>73017</v>
      </c>
      <c r="C2147">
        <v>46</v>
      </c>
      <c r="D2147">
        <v>2</v>
      </c>
      <c r="E2147" s="7" t="s">
        <v>200</v>
      </c>
      <c r="F2147" s="7" t="s">
        <v>115</v>
      </c>
    </row>
    <row r="2148" spans="1:6" x14ac:dyDescent="0.2">
      <c r="A2148" s="7" t="s">
        <v>282</v>
      </c>
      <c r="B2148">
        <v>73017</v>
      </c>
      <c r="C2148">
        <v>47</v>
      </c>
      <c r="D2148">
        <v>2</v>
      </c>
      <c r="E2148" s="7" t="s">
        <v>200</v>
      </c>
      <c r="F2148">
        <v>5.6</v>
      </c>
    </row>
    <row r="2149" spans="1:6" x14ac:dyDescent="0.2">
      <c r="A2149" s="7" t="s">
        <v>282</v>
      </c>
      <c r="B2149">
        <v>73017</v>
      </c>
      <c r="C2149">
        <v>48</v>
      </c>
      <c r="D2149">
        <v>3</v>
      </c>
      <c r="E2149" s="7" t="s">
        <v>200</v>
      </c>
      <c r="F2149">
        <v>11</v>
      </c>
    </row>
    <row r="2150" spans="1:6" x14ac:dyDescent="0.2">
      <c r="A2150" s="7" t="s">
        <v>282</v>
      </c>
      <c r="B2150">
        <v>73017</v>
      </c>
      <c r="C2150">
        <v>49</v>
      </c>
      <c r="D2150">
        <v>3</v>
      </c>
      <c r="E2150" s="7" t="s">
        <v>200</v>
      </c>
      <c r="F2150">
        <v>11</v>
      </c>
    </row>
    <row r="2151" spans="1:6" x14ac:dyDescent="0.2">
      <c r="A2151" s="7" t="s">
        <v>282</v>
      </c>
      <c r="B2151">
        <v>73017</v>
      </c>
      <c r="C2151">
        <v>50</v>
      </c>
      <c r="D2151">
        <v>3</v>
      </c>
      <c r="E2151" s="7" t="s">
        <v>200</v>
      </c>
      <c r="F2151">
        <v>8</v>
      </c>
    </row>
    <row r="2152" spans="1:6" x14ac:dyDescent="0.2">
      <c r="A2152" s="7" t="s">
        <v>282</v>
      </c>
      <c r="B2152">
        <v>73017</v>
      </c>
      <c r="C2152">
        <v>51</v>
      </c>
      <c r="D2152">
        <v>3</v>
      </c>
      <c r="E2152" s="7" t="s">
        <v>200</v>
      </c>
      <c r="F2152" s="7" t="s">
        <v>115</v>
      </c>
    </row>
    <row r="2153" spans="1:6" x14ac:dyDescent="0.2">
      <c r="A2153" s="7" t="s">
        <v>282</v>
      </c>
      <c r="B2153">
        <v>73017</v>
      </c>
      <c r="C2153">
        <v>52</v>
      </c>
      <c r="D2153">
        <v>3</v>
      </c>
      <c r="E2153" s="7" t="s">
        <v>200</v>
      </c>
      <c r="F2153" s="7" t="s">
        <v>115</v>
      </c>
    </row>
    <row r="2154" spans="1:6" x14ac:dyDescent="0.2">
      <c r="A2154" s="7" t="s">
        <v>282</v>
      </c>
      <c r="B2154">
        <v>73017</v>
      </c>
      <c r="C2154">
        <v>53</v>
      </c>
      <c r="D2154">
        <v>3</v>
      </c>
      <c r="E2154" s="7" t="s">
        <v>200</v>
      </c>
      <c r="F2154" s="7">
        <v>45</v>
      </c>
    </row>
    <row r="2155" spans="1:6" x14ac:dyDescent="0.2">
      <c r="A2155" s="7" t="s">
        <v>282</v>
      </c>
      <c r="B2155">
        <v>73017</v>
      </c>
      <c r="C2155">
        <v>54</v>
      </c>
      <c r="D2155">
        <v>3</v>
      </c>
      <c r="E2155" s="7" t="s">
        <v>127</v>
      </c>
      <c r="F2155" s="7" t="s">
        <v>115</v>
      </c>
    </row>
    <row r="2156" spans="1:6" x14ac:dyDescent="0.2">
      <c r="A2156" s="7" t="s">
        <v>282</v>
      </c>
      <c r="B2156">
        <v>73017</v>
      </c>
      <c r="C2156">
        <v>55</v>
      </c>
      <c r="D2156">
        <v>3</v>
      </c>
      <c r="E2156" s="7" t="s">
        <v>127</v>
      </c>
      <c r="F2156" s="7" t="s">
        <v>115</v>
      </c>
    </row>
    <row r="2157" spans="1:6" x14ac:dyDescent="0.2">
      <c r="A2157" s="7" t="s">
        <v>282</v>
      </c>
      <c r="B2157">
        <v>73017</v>
      </c>
      <c r="C2157">
        <v>56</v>
      </c>
      <c r="D2157">
        <v>3</v>
      </c>
      <c r="E2157" s="7" t="s">
        <v>127</v>
      </c>
      <c r="F2157" s="7" t="s">
        <v>115</v>
      </c>
    </row>
    <row r="2158" spans="1:6" x14ac:dyDescent="0.2">
      <c r="A2158" s="7" t="s">
        <v>282</v>
      </c>
      <c r="B2158">
        <v>73017</v>
      </c>
      <c r="C2158">
        <v>57</v>
      </c>
      <c r="D2158">
        <v>3</v>
      </c>
      <c r="E2158" s="7" t="s">
        <v>127</v>
      </c>
      <c r="F2158">
        <v>16</v>
      </c>
    </row>
    <row r="2159" spans="1:6" x14ac:dyDescent="0.2">
      <c r="A2159" s="7" t="s">
        <v>282</v>
      </c>
      <c r="B2159">
        <v>73017</v>
      </c>
      <c r="C2159">
        <v>58</v>
      </c>
      <c r="D2159">
        <v>3</v>
      </c>
      <c r="E2159" s="7" t="s">
        <v>127</v>
      </c>
      <c r="F2159">
        <v>22.6</v>
      </c>
    </row>
    <row r="2160" spans="1:6" x14ac:dyDescent="0.2">
      <c r="A2160" s="7" t="s">
        <v>282</v>
      </c>
      <c r="B2160">
        <v>73017</v>
      </c>
      <c r="C2160">
        <v>59</v>
      </c>
      <c r="D2160">
        <v>3</v>
      </c>
      <c r="E2160" s="7" t="s">
        <v>127</v>
      </c>
      <c r="F2160" s="7" t="s">
        <v>115</v>
      </c>
    </row>
    <row r="2161" spans="1:6" x14ac:dyDescent="0.2">
      <c r="A2161" s="7" t="s">
        <v>282</v>
      </c>
      <c r="B2161">
        <v>73017</v>
      </c>
      <c r="C2161">
        <v>60</v>
      </c>
      <c r="D2161">
        <v>3</v>
      </c>
      <c r="E2161" s="7" t="s">
        <v>127</v>
      </c>
      <c r="F2161">
        <v>32</v>
      </c>
    </row>
    <row r="2162" spans="1:6" x14ac:dyDescent="0.2">
      <c r="A2162" s="7" t="s">
        <v>282</v>
      </c>
      <c r="B2162">
        <v>73017</v>
      </c>
      <c r="C2162">
        <v>61</v>
      </c>
      <c r="D2162">
        <v>3</v>
      </c>
      <c r="E2162" s="7" t="s">
        <v>127</v>
      </c>
      <c r="F2162" s="7" t="s">
        <v>115</v>
      </c>
    </row>
    <row r="2163" spans="1:6" x14ac:dyDescent="0.2">
      <c r="A2163" s="7" t="s">
        <v>282</v>
      </c>
      <c r="B2163">
        <v>73017</v>
      </c>
      <c r="C2163">
        <v>62</v>
      </c>
      <c r="D2163">
        <v>3</v>
      </c>
      <c r="E2163" s="7" t="s">
        <v>200</v>
      </c>
      <c r="F2163" s="7">
        <v>64</v>
      </c>
    </row>
    <row r="2164" spans="1:6" x14ac:dyDescent="0.2">
      <c r="A2164" s="7" t="s">
        <v>282</v>
      </c>
      <c r="B2164">
        <v>73017</v>
      </c>
      <c r="C2164">
        <v>63</v>
      </c>
      <c r="D2164">
        <v>3</v>
      </c>
      <c r="E2164" s="7" t="s">
        <v>200</v>
      </c>
      <c r="F2164" s="7" t="s">
        <v>115</v>
      </c>
    </row>
    <row r="2165" spans="1:6" x14ac:dyDescent="0.2">
      <c r="A2165" s="7" t="s">
        <v>282</v>
      </c>
      <c r="B2165">
        <v>73017</v>
      </c>
      <c r="C2165">
        <v>64</v>
      </c>
      <c r="D2165">
        <v>3</v>
      </c>
      <c r="E2165" s="7" t="s">
        <v>200</v>
      </c>
      <c r="F2165">
        <v>90</v>
      </c>
    </row>
    <row r="2166" spans="1:6" x14ac:dyDescent="0.2">
      <c r="A2166" s="7" t="s">
        <v>282</v>
      </c>
      <c r="B2166">
        <v>73017</v>
      </c>
      <c r="C2166">
        <v>65</v>
      </c>
      <c r="D2166">
        <v>3</v>
      </c>
      <c r="E2166" s="7" t="s">
        <v>200</v>
      </c>
      <c r="F2166">
        <v>32</v>
      </c>
    </row>
    <row r="2167" spans="1:6" x14ac:dyDescent="0.2">
      <c r="A2167" s="7" t="s">
        <v>282</v>
      </c>
      <c r="B2167">
        <v>73017</v>
      </c>
      <c r="C2167">
        <v>66</v>
      </c>
      <c r="D2167">
        <v>3</v>
      </c>
      <c r="E2167" s="7" t="s">
        <v>200</v>
      </c>
      <c r="F2167">
        <v>5.6</v>
      </c>
    </row>
    <row r="2168" spans="1:6" x14ac:dyDescent="0.2">
      <c r="A2168" s="7" t="s">
        <v>282</v>
      </c>
      <c r="B2168">
        <v>73017</v>
      </c>
      <c r="C2168">
        <v>67</v>
      </c>
      <c r="D2168">
        <v>3</v>
      </c>
      <c r="E2168" s="7" t="s">
        <v>200</v>
      </c>
      <c r="F2168">
        <v>2.8</v>
      </c>
    </row>
    <row r="2169" spans="1:6" x14ac:dyDescent="0.2">
      <c r="A2169" s="7" t="s">
        <v>282</v>
      </c>
      <c r="B2169">
        <v>73017</v>
      </c>
      <c r="C2169">
        <v>68</v>
      </c>
      <c r="D2169">
        <v>3</v>
      </c>
      <c r="E2169" s="7" t="s">
        <v>200</v>
      </c>
      <c r="F2169" s="7" t="s">
        <v>115</v>
      </c>
    </row>
    <row r="2170" spans="1:6" x14ac:dyDescent="0.2">
      <c r="A2170" s="7" t="s">
        <v>282</v>
      </c>
      <c r="B2170">
        <v>73017</v>
      </c>
      <c r="C2170">
        <v>69</v>
      </c>
      <c r="D2170">
        <v>4</v>
      </c>
      <c r="E2170" s="7" t="s">
        <v>200</v>
      </c>
      <c r="F2170" s="7">
        <v>32</v>
      </c>
    </row>
    <row r="2171" spans="1:6" x14ac:dyDescent="0.2">
      <c r="A2171" s="7" t="s">
        <v>282</v>
      </c>
      <c r="B2171">
        <v>73017</v>
      </c>
      <c r="C2171">
        <v>70</v>
      </c>
      <c r="D2171">
        <v>4</v>
      </c>
      <c r="E2171" s="7" t="s">
        <v>200</v>
      </c>
      <c r="F2171" s="7">
        <v>4</v>
      </c>
    </row>
    <row r="2172" spans="1:6" x14ac:dyDescent="0.2">
      <c r="A2172" s="7" t="s">
        <v>282</v>
      </c>
      <c r="B2172">
        <v>73017</v>
      </c>
      <c r="C2172">
        <v>71</v>
      </c>
      <c r="D2172">
        <v>4</v>
      </c>
      <c r="E2172" s="7" t="s">
        <v>200</v>
      </c>
      <c r="F2172" s="7">
        <v>45</v>
      </c>
    </row>
    <row r="2173" spans="1:6" x14ac:dyDescent="0.2">
      <c r="A2173" s="7" t="s">
        <v>282</v>
      </c>
      <c r="B2173">
        <v>73017</v>
      </c>
      <c r="C2173">
        <v>72</v>
      </c>
      <c r="D2173">
        <v>4</v>
      </c>
      <c r="E2173" s="7" t="s">
        <v>200</v>
      </c>
      <c r="F2173" s="7">
        <v>32</v>
      </c>
    </row>
    <row r="2174" spans="1:6" x14ac:dyDescent="0.2">
      <c r="A2174" s="7" t="s">
        <v>282</v>
      </c>
      <c r="B2174">
        <v>73017</v>
      </c>
      <c r="C2174">
        <v>73</v>
      </c>
      <c r="D2174">
        <v>4</v>
      </c>
      <c r="E2174" s="7" t="s">
        <v>200</v>
      </c>
      <c r="F2174" s="7">
        <v>64</v>
      </c>
    </row>
    <row r="2175" spans="1:6" x14ac:dyDescent="0.2">
      <c r="A2175" s="7" t="s">
        <v>282</v>
      </c>
      <c r="B2175">
        <v>73017</v>
      </c>
      <c r="C2175">
        <v>74</v>
      </c>
      <c r="D2175">
        <v>4</v>
      </c>
      <c r="E2175" s="7" t="s">
        <v>200</v>
      </c>
      <c r="F2175" s="7" t="s">
        <v>115</v>
      </c>
    </row>
    <row r="2176" spans="1:6" x14ac:dyDescent="0.2">
      <c r="A2176" s="7" t="s">
        <v>282</v>
      </c>
      <c r="B2176">
        <v>73017</v>
      </c>
      <c r="C2176">
        <v>75</v>
      </c>
      <c r="D2176">
        <v>4</v>
      </c>
      <c r="E2176" s="7" t="s">
        <v>200</v>
      </c>
      <c r="F2176" s="7" t="s">
        <v>115</v>
      </c>
    </row>
    <row r="2177" spans="1:6" x14ac:dyDescent="0.2">
      <c r="A2177" s="7" t="s">
        <v>282</v>
      </c>
      <c r="B2177">
        <v>73017</v>
      </c>
      <c r="C2177">
        <v>76</v>
      </c>
      <c r="D2177">
        <v>4</v>
      </c>
      <c r="E2177" s="7" t="s">
        <v>200</v>
      </c>
      <c r="F2177" s="7" t="s">
        <v>115</v>
      </c>
    </row>
    <row r="2178" spans="1:6" x14ac:dyDescent="0.2">
      <c r="A2178" s="7" t="s">
        <v>282</v>
      </c>
      <c r="B2178">
        <v>73017</v>
      </c>
      <c r="C2178">
        <v>77</v>
      </c>
      <c r="D2178">
        <v>4</v>
      </c>
      <c r="E2178" s="7" t="s">
        <v>200</v>
      </c>
      <c r="F2178">
        <v>64</v>
      </c>
    </row>
    <row r="2179" spans="1:6" x14ac:dyDescent="0.2">
      <c r="A2179" s="7" t="s">
        <v>282</v>
      </c>
      <c r="B2179">
        <v>73017</v>
      </c>
      <c r="C2179">
        <v>78</v>
      </c>
      <c r="D2179">
        <v>4</v>
      </c>
      <c r="E2179" s="7" t="s">
        <v>127</v>
      </c>
      <c r="F2179">
        <v>90</v>
      </c>
    </row>
    <row r="2180" spans="1:6" x14ac:dyDescent="0.2">
      <c r="A2180" s="7" t="s">
        <v>282</v>
      </c>
      <c r="B2180">
        <v>73017</v>
      </c>
      <c r="C2180">
        <v>79</v>
      </c>
      <c r="D2180">
        <v>4</v>
      </c>
      <c r="E2180" s="7" t="s">
        <v>127</v>
      </c>
      <c r="F2180">
        <v>16</v>
      </c>
    </row>
    <row r="2181" spans="1:6" x14ac:dyDescent="0.2">
      <c r="A2181" s="7" t="s">
        <v>282</v>
      </c>
      <c r="B2181">
        <v>73017</v>
      </c>
      <c r="C2181">
        <v>80</v>
      </c>
      <c r="D2181">
        <v>4</v>
      </c>
      <c r="E2181" s="7" t="s">
        <v>127</v>
      </c>
      <c r="F2181" s="7" t="s">
        <v>115</v>
      </c>
    </row>
    <row r="2182" spans="1:6" x14ac:dyDescent="0.2">
      <c r="A2182" s="7" t="s">
        <v>282</v>
      </c>
      <c r="B2182">
        <v>73017</v>
      </c>
      <c r="C2182">
        <v>81</v>
      </c>
      <c r="D2182">
        <v>4</v>
      </c>
      <c r="E2182" s="7" t="s">
        <v>127</v>
      </c>
      <c r="F2182" s="7">
        <v>8</v>
      </c>
    </row>
    <row r="2183" spans="1:6" x14ac:dyDescent="0.2">
      <c r="A2183" s="7" t="s">
        <v>282</v>
      </c>
      <c r="B2183">
        <v>73017</v>
      </c>
      <c r="C2183">
        <v>82</v>
      </c>
      <c r="D2183">
        <v>4</v>
      </c>
      <c r="E2183" s="7" t="s">
        <v>127</v>
      </c>
      <c r="F2183" s="7">
        <v>45</v>
      </c>
    </row>
    <row r="2184" spans="1:6" x14ac:dyDescent="0.2">
      <c r="A2184" s="7" t="s">
        <v>282</v>
      </c>
      <c r="B2184">
        <v>73017</v>
      </c>
      <c r="C2184">
        <v>83</v>
      </c>
      <c r="D2184">
        <v>4</v>
      </c>
      <c r="E2184" s="7" t="s">
        <v>127</v>
      </c>
      <c r="F2184" s="7">
        <v>11</v>
      </c>
    </row>
    <row r="2185" spans="1:6" x14ac:dyDescent="0.2">
      <c r="A2185" s="7" t="s">
        <v>282</v>
      </c>
      <c r="B2185">
        <v>73017</v>
      </c>
      <c r="C2185">
        <v>84</v>
      </c>
      <c r="D2185">
        <v>4</v>
      </c>
      <c r="E2185" s="7" t="s">
        <v>125</v>
      </c>
      <c r="F2185" s="7">
        <v>64</v>
      </c>
    </row>
    <row r="2186" spans="1:6" x14ac:dyDescent="0.2">
      <c r="A2186" s="7" t="s">
        <v>282</v>
      </c>
      <c r="B2186">
        <v>73017</v>
      </c>
      <c r="C2186">
        <v>85</v>
      </c>
      <c r="D2186">
        <v>4</v>
      </c>
      <c r="E2186" s="7" t="s">
        <v>127</v>
      </c>
      <c r="F2186" s="7" t="s">
        <v>115</v>
      </c>
    </row>
    <row r="2187" spans="1:6" x14ac:dyDescent="0.2">
      <c r="A2187" s="7" t="s">
        <v>282</v>
      </c>
      <c r="B2187">
        <v>73017</v>
      </c>
      <c r="C2187">
        <v>86</v>
      </c>
      <c r="D2187">
        <v>4</v>
      </c>
      <c r="E2187" s="7" t="s">
        <v>200</v>
      </c>
      <c r="F2187" s="7" t="s">
        <v>115</v>
      </c>
    </row>
    <row r="2188" spans="1:6" x14ac:dyDescent="0.2">
      <c r="A2188" s="7" t="s">
        <v>282</v>
      </c>
      <c r="B2188">
        <v>73017</v>
      </c>
      <c r="C2188">
        <v>87</v>
      </c>
      <c r="D2188">
        <v>4</v>
      </c>
      <c r="E2188" s="7" t="s">
        <v>200</v>
      </c>
      <c r="F2188" s="7">
        <v>11</v>
      </c>
    </row>
    <row r="2189" spans="1:6" x14ac:dyDescent="0.2">
      <c r="A2189" s="7" t="s">
        <v>282</v>
      </c>
      <c r="B2189">
        <v>73017</v>
      </c>
      <c r="C2189">
        <v>88</v>
      </c>
      <c r="D2189">
        <v>4</v>
      </c>
      <c r="E2189" s="7" t="s">
        <v>200</v>
      </c>
      <c r="F2189" s="7" t="s">
        <v>115</v>
      </c>
    </row>
    <row r="2190" spans="1:6" x14ac:dyDescent="0.2">
      <c r="A2190" s="7" t="s">
        <v>282</v>
      </c>
      <c r="B2190">
        <v>73017</v>
      </c>
      <c r="C2190">
        <v>89</v>
      </c>
      <c r="D2190">
        <v>4</v>
      </c>
      <c r="E2190" s="7" t="s">
        <v>200</v>
      </c>
      <c r="F2190">
        <v>90</v>
      </c>
    </row>
    <row r="2191" spans="1:6" x14ac:dyDescent="0.2">
      <c r="A2191" s="7" t="s">
        <v>282</v>
      </c>
      <c r="B2191">
        <v>73017</v>
      </c>
      <c r="C2191">
        <v>90</v>
      </c>
      <c r="D2191">
        <v>4</v>
      </c>
      <c r="E2191" s="7" t="s">
        <v>200</v>
      </c>
      <c r="F2191">
        <v>64</v>
      </c>
    </row>
    <row r="2192" spans="1:6" x14ac:dyDescent="0.2">
      <c r="A2192" s="7" t="s">
        <v>282</v>
      </c>
      <c r="B2192">
        <v>73017</v>
      </c>
      <c r="C2192">
        <v>91</v>
      </c>
      <c r="D2192">
        <v>4</v>
      </c>
      <c r="E2192" s="7" t="s">
        <v>200</v>
      </c>
      <c r="F2192">
        <v>45</v>
      </c>
    </row>
    <row r="2193" spans="1:7" x14ac:dyDescent="0.2">
      <c r="A2193" s="7" t="s">
        <v>282</v>
      </c>
      <c r="B2193">
        <v>73017</v>
      </c>
      <c r="C2193">
        <v>92</v>
      </c>
      <c r="D2193">
        <v>4</v>
      </c>
      <c r="E2193" s="7" t="s">
        <v>200</v>
      </c>
      <c r="F2193">
        <v>5.6</v>
      </c>
    </row>
    <row r="2194" spans="1:7" x14ac:dyDescent="0.2">
      <c r="A2194" s="7" t="s">
        <v>282</v>
      </c>
      <c r="B2194">
        <v>73017</v>
      </c>
      <c r="C2194">
        <v>93</v>
      </c>
      <c r="D2194">
        <v>5</v>
      </c>
      <c r="E2194" s="7" t="s">
        <v>200</v>
      </c>
      <c r="F2194">
        <v>5.6</v>
      </c>
    </row>
    <row r="2195" spans="1:7" x14ac:dyDescent="0.2">
      <c r="A2195" s="7" t="s">
        <v>282</v>
      </c>
      <c r="B2195">
        <v>73017</v>
      </c>
      <c r="C2195">
        <v>94</v>
      </c>
      <c r="D2195">
        <v>5</v>
      </c>
      <c r="E2195" s="7" t="s">
        <v>200</v>
      </c>
      <c r="F2195">
        <v>11</v>
      </c>
    </row>
    <row r="2196" spans="1:7" x14ac:dyDescent="0.2">
      <c r="A2196" s="7" t="s">
        <v>282</v>
      </c>
      <c r="B2196">
        <v>73017</v>
      </c>
      <c r="C2196">
        <v>95</v>
      </c>
      <c r="D2196">
        <v>5</v>
      </c>
      <c r="E2196" s="7" t="s">
        <v>200</v>
      </c>
      <c r="F2196">
        <v>32</v>
      </c>
    </row>
    <row r="2197" spans="1:7" x14ac:dyDescent="0.2">
      <c r="A2197" s="7" t="s">
        <v>282</v>
      </c>
      <c r="B2197">
        <v>73017</v>
      </c>
      <c r="C2197">
        <v>96</v>
      </c>
      <c r="D2197">
        <v>5</v>
      </c>
      <c r="E2197" s="7" t="s">
        <v>200</v>
      </c>
      <c r="F2197">
        <v>11</v>
      </c>
    </row>
    <row r="2198" spans="1:7" x14ac:dyDescent="0.2">
      <c r="A2198" s="7" t="s">
        <v>282</v>
      </c>
      <c r="B2198">
        <v>73017</v>
      </c>
      <c r="C2198">
        <v>97</v>
      </c>
      <c r="D2198">
        <v>5</v>
      </c>
      <c r="E2198" s="7" t="s">
        <v>200</v>
      </c>
      <c r="F2198">
        <v>8</v>
      </c>
    </row>
    <row r="2199" spans="1:7" x14ac:dyDescent="0.2">
      <c r="A2199" s="7" t="s">
        <v>282</v>
      </c>
      <c r="B2199">
        <v>73017</v>
      </c>
      <c r="C2199">
        <v>98</v>
      </c>
      <c r="D2199">
        <v>5</v>
      </c>
      <c r="E2199" s="7" t="s">
        <v>200</v>
      </c>
      <c r="F2199">
        <v>64</v>
      </c>
    </row>
    <row r="2200" spans="1:7" x14ac:dyDescent="0.2">
      <c r="A2200" s="7" t="s">
        <v>282</v>
      </c>
      <c r="B2200">
        <v>73017</v>
      </c>
      <c r="C2200">
        <v>99</v>
      </c>
      <c r="D2200">
        <v>5</v>
      </c>
      <c r="E2200" s="7" t="s">
        <v>127</v>
      </c>
      <c r="F2200" s="7" t="s">
        <v>115</v>
      </c>
    </row>
    <row r="2201" spans="1:7" x14ac:dyDescent="0.2">
      <c r="A2201" s="7" t="s">
        <v>282</v>
      </c>
      <c r="B2201">
        <v>73017</v>
      </c>
      <c r="C2201">
        <v>100</v>
      </c>
      <c r="D2201">
        <v>5</v>
      </c>
      <c r="E2201" s="7" t="s">
        <v>127</v>
      </c>
      <c r="F2201" s="7" t="s">
        <v>115</v>
      </c>
    </row>
    <row r="2202" spans="1:7" x14ac:dyDescent="0.2">
      <c r="A2202" s="7" t="s">
        <v>283</v>
      </c>
      <c r="B2202">
        <v>73017</v>
      </c>
      <c r="C2202">
        <v>1</v>
      </c>
      <c r="D2202">
        <v>1</v>
      </c>
      <c r="E2202" s="7" t="s">
        <v>200</v>
      </c>
      <c r="F2202" s="7" t="s">
        <v>115</v>
      </c>
      <c r="G2202" s="7" t="s">
        <v>299</v>
      </c>
    </row>
    <row r="2203" spans="1:7" x14ac:dyDescent="0.2">
      <c r="A2203" s="7" t="s">
        <v>283</v>
      </c>
      <c r="B2203">
        <v>73017</v>
      </c>
      <c r="C2203">
        <v>2</v>
      </c>
      <c r="D2203">
        <v>1</v>
      </c>
      <c r="E2203" s="7" t="s">
        <v>127</v>
      </c>
      <c r="F2203" s="7">
        <v>16</v>
      </c>
    </row>
    <row r="2204" spans="1:7" x14ac:dyDescent="0.2">
      <c r="A2204" s="7" t="s">
        <v>283</v>
      </c>
      <c r="B2204">
        <v>73017</v>
      </c>
      <c r="C2204">
        <v>3</v>
      </c>
      <c r="D2204">
        <v>1</v>
      </c>
      <c r="E2204" s="7" t="s">
        <v>127</v>
      </c>
      <c r="F2204">
        <v>16</v>
      </c>
    </row>
    <row r="2205" spans="1:7" x14ac:dyDescent="0.2">
      <c r="A2205" s="7" t="s">
        <v>283</v>
      </c>
      <c r="B2205">
        <v>73017</v>
      </c>
      <c r="C2205">
        <v>4</v>
      </c>
      <c r="D2205">
        <v>1</v>
      </c>
      <c r="E2205" s="7" t="s">
        <v>127</v>
      </c>
      <c r="F2205">
        <v>11</v>
      </c>
    </row>
    <row r="2206" spans="1:7" x14ac:dyDescent="0.2">
      <c r="A2206" s="7" t="s">
        <v>283</v>
      </c>
      <c r="B2206">
        <v>73017</v>
      </c>
      <c r="C2206">
        <v>5</v>
      </c>
      <c r="D2206">
        <v>1</v>
      </c>
      <c r="E2206" s="7" t="s">
        <v>127</v>
      </c>
      <c r="F2206">
        <v>8</v>
      </c>
    </row>
    <row r="2207" spans="1:7" x14ac:dyDescent="0.2">
      <c r="A2207" s="7" t="s">
        <v>283</v>
      </c>
      <c r="B2207">
        <v>73017</v>
      </c>
      <c r="C2207">
        <v>6</v>
      </c>
      <c r="D2207">
        <v>1</v>
      </c>
      <c r="E2207" s="7" t="s">
        <v>127</v>
      </c>
      <c r="F2207">
        <v>16</v>
      </c>
    </row>
    <row r="2208" spans="1:7" x14ac:dyDescent="0.2">
      <c r="A2208" s="7" t="s">
        <v>283</v>
      </c>
      <c r="B2208">
        <v>73017</v>
      </c>
      <c r="C2208">
        <v>7</v>
      </c>
      <c r="D2208">
        <v>2</v>
      </c>
      <c r="E2208" s="7" t="s">
        <v>200</v>
      </c>
      <c r="F2208" s="7" t="s">
        <v>115</v>
      </c>
    </row>
    <row r="2209" spans="1:6" x14ac:dyDescent="0.2">
      <c r="A2209" s="7" t="s">
        <v>283</v>
      </c>
      <c r="B2209">
        <v>73017</v>
      </c>
      <c r="C2209">
        <v>8</v>
      </c>
      <c r="D2209">
        <v>2</v>
      </c>
      <c r="E2209" s="7" t="s">
        <v>200</v>
      </c>
      <c r="F2209" s="7" t="s">
        <v>115</v>
      </c>
    </row>
    <row r="2210" spans="1:6" x14ac:dyDescent="0.2">
      <c r="A2210" s="7" t="s">
        <v>283</v>
      </c>
      <c r="B2210">
        <v>73017</v>
      </c>
      <c r="C2210">
        <v>9</v>
      </c>
      <c r="D2210">
        <v>2</v>
      </c>
      <c r="E2210" s="7" t="s">
        <v>127</v>
      </c>
      <c r="F2210" s="7" t="s">
        <v>115</v>
      </c>
    </row>
    <row r="2211" spans="1:6" x14ac:dyDescent="0.2">
      <c r="A2211" s="7" t="s">
        <v>283</v>
      </c>
      <c r="B2211">
        <v>73017</v>
      </c>
      <c r="C2211">
        <v>10</v>
      </c>
      <c r="D2211">
        <v>2</v>
      </c>
      <c r="E2211" s="7" t="s">
        <v>127</v>
      </c>
      <c r="F2211" s="7" t="s">
        <v>115</v>
      </c>
    </row>
    <row r="2212" spans="1:6" x14ac:dyDescent="0.2">
      <c r="A2212" s="7" t="s">
        <v>283</v>
      </c>
      <c r="B2212">
        <v>73017</v>
      </c>
      <c r="C2212">
        <v>11</v>
      </c>
      <c r="D2212">
        <v>2</v>
      </c>
      <c r="E2212" s="7" t="s">
        <v>127</v>
      </c>
      <c r="F2212" s="7" t="s">
        <v>115</v>
      </c>
    </row>
    <row r="2213" spans="1:6" x14ac:dyDescent="0.2">
      <c r="A2213" s="7" t="s">
        <v>283</v>
      </c>
      <c r="B2213">
        <v>73017</v>
      </c>
      <c r="C2213">
        <v>12</v>
      </c>
      <c r="D2213">
        <v>2</v>
      </c>
      <c r="E2213" s="7" t="s">
        <v>127</v>
      </c>
      <c r="F2213" s="7">
        <v>8</v>
      </c>
    </row>
    <row r="2214" spans="1:6" x14ac:dyDescent="0.2">
      <c r="A2214" s="7" t="s">
        <v>283</v>
      </c>
      <c r="B2214">
        <v>73017</v>
      </c>
      <c r="C2214">
        <v>13</v>
      </c>
      <c r="D2214">
        <v>2</v>
      </c>
      <c r="E2214" s="7" t="s">
        <v>127</v>
      </c>
      <c r="F2214" s="7" t="s">
        <v>115</v>
      </c>
    </row>
    <row r="2215" spans="1:6" x14ac:dyDescent="0.2">
      <c r="A2215" s="7" t="s">
        <v>283</v>
      </c>
      <c r="B2215">
        <v>73017</v>
      </c>
      <c r="C2215">
        <v>14</v>
      </c>
      <c r="D2215">
        <v>2</v>
      </c>
      <c r="E2215" s="7" t="s">
        <v>200</v>
      </c>
      <c r="F2215" s="7" t="s">
        <v>115</v>
      </c>
    </row>
    <row r="2216" spans="1:6" x14ac:dyDescent="0.2">
      <c r="A2216" s="7" t="s">
        <v>283</v>
      </c>
      <c r="B2216">
        <v>73017</v>
      </c>
      <c r="C2216">
        <v>15</v>
      </c>
      <c r="D2216">
        <v>2</v>
      </c>
      <c r="E2216" s="7" t="s">
        <v>200</v>
      </c>
      <c r="F2216" s="7" t="s">
        <v>115</v>
      </c>
    </row>
    <row r="2217" spans="1:6" x14ac:dyDescent="0.2">
      <c r="A2217" s="7" t="s">
        <v>283</v>
      </c>
      <c r="B2217">
        <v>73017</v>
      </c>
      <c r="C2217">
        <v>16</v>
      </c>
      <c r="D2217">
        <v>3</v>
      </c>
      <c r="E2217" s="7" t="s">
        <v>200</v>
      </c>
      <c r="F2217" s="7" t="s">
        <v>115</v>
      </c>
    </row>
    <row r="2218" spans="1:6" x14ac:dyDescent="0.2">
      <c r="A2218" s="7" t="s">
        <v>283</v>
      </c>
      <c r="B2218">
        <v>73017</v>
      </c>
      <c r="C2218">
        <v>17</v>
      </c>
      <c r="D2218">
        <v>3</v>
      </c>
      <c r="E2218" s="7" t="s">
        <v>127</v>
      </c>
      <c r="F2218" s="7" t="s">
        <v>115</v>
      </c>
    </row>
    <row r="2219" spans="1:6" x14ac:dyDescent="0.2">
      <c r="A2219" s="7" t="s">
        <v>283</v>
      </c>
      <c r="B2219">
        <v>73017</v>
      </c>
      <c r="C2219">
        <v>18</v>
      </c>
      <c r="D2219">
        <v>3</v>
      </c>
      <c r="E2219" s="7" t="s">
        <v>127</v>
      </c>
      <c r="F2219" s="7" t="s">
        <v>115</v>
      </c>
    </row>
    <row r="2220" spans="1:6" x14ac:dyDescent="0.2">
      <c r="A2220" s="7" t="s">
        <v>283</v>
      </c>
      <c r="B2220">
        <v>73017</v>
      </c>
      <c r="C2220">
        <v>19</v>
      </c>
      <c r="D2220">
        <v>3</v>
      </c>
      <c r="E2220" s="7" t="s">
        <v>127</v>
      </c>
      <c r="F2220" s="7">
        <v>22.6</v>
      </c>
    </row>
    <row r="2221" spans="1:6" x14ac:dyDescent="0.2">
      <c r="A2221" s="7" t="s">
        <v>283</v>
      </c>
      <c r="B2221">
        <v>73017</v>
      </c>
      <c r="C2221">
        <v>20</v>
      </c>
      <c r="D2221">
        <v>3</v>
      </c>
      <c r="E2221" s="7" t="s">
        <v>127</v>
      </c>
      <c r="F2221">
        <v>32</v>
      </c>
    </row>
    <row r="2222" spans="1:6" x14ac:dyDescent="0.2">
      <c r="A2222" s="7" t="s">
        <v>283</v>
      </c>
      <c r="B2222">
        <v>73017</v>
      </c>
      <c r="C2222">
        <v>21</v>
      </c>
      <c r="D2222">
        <v>3</v>
      </c>
      <c r="E2222" s="7" t="s">
        <v>127</v>
      </c>
      <c r="F2222">
        <v>11</v>
      </c>
    </row>
    <row r="2223" spans="1:6" x14ac:dyDescent="0.2">
      <c r="A2223" s="7" t="s">
        <v>283</v>
      </c>
      <c r="B2223">
        <v>73017</v>
      </c>
      <c r="C2223">
        <v>22</v>
      </c>
      <c r="D2223">
        <v>3</v>
      </c>
      <c r="E2223" s="7" t="s">
        <v>127</v>
      </c>
      <c r="F2223" s="7" t="s">
        <v>115</v>
      </c>
    </row>
    <row r="2224" spans="1:6" x14ac:dyDescent="0.2">
      <c r="A2224" s="7" t="s">
        <v>283</v>
      </c>
      <c r="B2224">
        <v>73017</v>
      </c>
      <c r="C2224">
        <v>23</v>
      </c>
      <c r="D2224">
        <v>3</v>
      </c>
      <c r="E2224" s="7" t="s">
        <v>127</v>
      </c>
      <c r="F2224" s="7" t="s">
        <v>115</v>
      </c>
    </row>
    <row r="2225" spans="1:6" x14ac:dyDescent="0.2">
      <c r="A2225" s="7" t="s">
        <v>283</v>
      </c>
      <c r="B2225">
        <v>73017</v>
      </c>
      <c r="C2225">
        <v>24</v>
      </c>
      <c r="D2225">
        <v>3</v>
      </c>
      <c r="E2225" s="7" t="s">
        <v>200</v>
      </c>
      <c r="F2225" s="7" t="s">
        <v>115</v>
      </c>
    </row>
    <row r="2226" spans="1:6" x14ac:dyDescent="0.2">
      <c r="A2226" s="7" t="s">
        <v>283</v>
      </c>
      <c r="B2226">
        <v>73017</v>
      </c>
      <c r="C2226">
        <v>25</v>
      </c>
      <c r="D2226">
        <v>4</v>
      </c>
      <c r="E2226" s="7" t="s">
        <v>200</v>
      </c>
      <c r="F2226" s="7" t="s">
        <v>115</v>
      </c>
    </row>
    <row r="2227" spans="1:6" x14ac:dyDescent="0.2">
      <c r="A2227" s="7" t="s">
        <v>283</v>
      </c>
      <c r="B2227">
        <v>73017</v>
      </c>
      <c r="C2227">
        <v>26</v>
      </c>
      <c r="D2227">
        <v>4</v>
      </c>
      <c r="E2227" s="7" t="s">
        <v>127</v>
      </c>
      <c r="F2227" s="7" t="s">
        <v>115</v>
      </c>
    </row>
    <row r="2228" spans="1:6" x14ac:dyDescent="0.2">
      <c r="A2228" s="7" t="s">
        <v>283</v>
      </c>
      <c r="B2228">
        <v>73017</v>
      </c>
      <c r="C2228">
        <v>27</v>
      </c>
      <c r="D2228">
        <v>4</v>
      </c>
      <c r="E2228" s="7" t="s">
        <v>127</v>
      </c>
      <c r="F2228" s="7" t="s">
        <v>115</v>
      </c>
    </row>
    <row r="2229" spans="1:6" x14ac:dyDescent="0.2">
      <c r="A2229" s="7" t="s">
        <v>283</v>
      </c>
      <c r="B2229">
        <v>73017</v>
      </c>
      <c r="C2229">
        <v>28</v>
      </c>
      <c r="D2229">
        <v>4</v>
      </c>
      <c r="E2229" s="7" t="s">
        <v>127</v>
      </c>
      <c r="F2229" s="7" t="s">
        <v>115</v>
      </c>
    </row>
    <row r="2230" spans="1:6" x14ac:dyDescent="0.2">
      <c r="A2230" s="7" t="s">
        <v>283</v>
      </c>
      <c r="B2230">
        <v>73017</v>
      </c>
      <c r="C2230">
        <v>29</v>
      </c>
      <c r="D2230">
        <v>4</v>
      </c>
      <c r="E2230" s="7" t="s">
        <v>127</v>
      </c>
      <c r="F2230" s="7" t="s">
        <v>115</v>
      </c>
    </row>
    <row r="2231" spans="1:6" x14ac:dyDescent="0.2">
      <c r="A2231" s="7" t="s">
        <v>283</v>
      </c>
      <c r="B2231">
        <v>73017</v>
      </c>
      <c r="C2231">
        <v>30</v>
      </c>
      <c r="D2231">
        <v>4</v>
      </c>
      <c r="E2231" s="7" t="s">
        <v>127</v>
      </c>
      <c r="F2231" s="7" t="s">
        <v>115</v>
      </c>
    </row>
    <row r="2232" spans="1:6" x14ac:dyDescent="0.2">
      <c r="A2232" s="7" t="s">
        <v>283</v>
      </c>
      <c r="B2232">
        <v>73017</v>
      </c>
      <c r="C2232">
        <v>31</v>
      </c>
      <c r="D2232">
        <v>4</v>
      </c>
      <c r="E2232" s="7" t="s">
        <v>127</v>
      </c>
      <c r="F2232" s="7" t="s">
        <v>115</v>
      </c>
    </row>
    <row r="2233" spans="1:6" x14ac:dyDescent="0.2">
      <c r="A2233" s="7" t="s">
        <v>283</v>
      </c>
      <c r="B2233">
        <v>73017</v>
      </c>
      <c r="C2233">
        <v>32</v>
      </c>
      <c r="D2233">
        <v>5</v>
      </c>
      <c r="E2233" s="7" t="s">
        <v>127</v>
      </c>
      <c r="F2233" s="7" t="s">
        <v>115</v>
      </c>
    </row>
    <row r="2234" spans="1:6" x14ac:dyDescent="0.2">
      <c r="A2234" s="7" t="s">
        <v>283</v>
      </c>
      <c r="B2234">
        <v>73017</v>
      </c>
      <c r="C2234">
        <v>33</v>
      </c>
      <c r="D2234">
        <v>5</v>
      </c>
      <c r="E2234" s="7" t="s">
        <v>127</v>
      </c>
      <c r="F2234" s="7" t="s">
        <v>115</v>
      </c>
    </row>
    <row r="2235" spans="1:6" x14ac:dyDescent="0.2">
      <c r="A2235" s="7" t="s">
        <v>283</v>
      </c>
      <c r="B2235">
        <v>73017</v>
      </c>
      <c r="C2235">
        <v>34</v>
      </c>
      <c r="D2235">
        <v>5</v>
      </c>
      <c r="E2235" s="7" t="s">
        <v>127</v>
      </c>
      <c r="F2235" s="7" t="s">
        <v>115</v>
      </c>
    </row>
    <row r="2236" spans="1:6" x14ac:dyDescent="0.2">
      <c r="A2236" s="7" t="s">
        <v>283</v>
      </c>
      <c r="B2236">
        <v>73017</v>
      </c>
      <c r="C2236">
        <v>35</v>
      </c>
      <c r="D2236">
        <v>5</v>
      </c>
      <c r="E2236" s="7" t="s">
        <v>127</v>
      </c>
      <c r="F2236" s="7" t="s">
        <v>115</v>
      </c>
    </row>
    <row r="2237" spans="1:6" x14ac:dyDescent="0.2">
      <c r="A2237" s="7" t="s">
        <v>283</v>
      </c>
      <c r="B2237">
        <v>73017</v>
      </c>
      <c r="C2237">
        <v>36</v>
      </c>
      <c r="D2237">
        <v>5</v>
      </c>
      <c r="E2237" s="7" t="s">
        <v>200</v>
      </c>
      <c r="F2237" s="7" t="s">
        <v>115</v>
      </c>
    </row>
    <row r="2238" spans="1:6" x14ac:dyDescent="0.2">
      <c r="A2238" s="7" t="s">
        <v>283</v>
      </c>
      <c r="B2238">
        <v>73017</v>
      </c>
      <c r="C2238">
        <v>37</v>
      </c>
      <c r="D2238">
        <v>6</v>
      </c>
      <c r="E2238" s="7" t="s">
        <v>127</v>
      </c>
      <c r="F2238" s="7" t="s">
        <v>115</v>
      </c>
    </row>
    <row r="2239" spans="1:6" x14ac:dyDescent="0.2">
      <c r="A2239" s="7" t="s">
        <v>283</v>
      </c>
      <c r="B2239">
        <v>73017</v>
      </c>
      <c r="C2239">
        <v>38</v>
      </c>
      <c r="D2239">
        <v>6</v>
      </c>
      <c r="E2239" s="7" t="s">
        <v>127</v>
      </c>
      <c r="F2239" s="7" t="s">
        <v>115</v>
      </c>
    </row>
    <row r="2240" spans="1:6" x14ac:dyDescent="0.2">
      <c r="A2240" s="7" t="s">
        <v>283</v>
      </c>
      <c r="B2240">
        <v>73017</v>
      </c>
      <c r="C2240">
        <v>39</v>
      </c>
      <c r="D2240">
        <v>6</v>
      </c>
      <c r="E2240" s="7" t="s">
        <v>127</v>
      </c>
      <c r="F2240" s="7" t="s">
        <v>115</v>
      </c>
    </row>
    <row r="2241" spans="1:6" x14ac:dyDescent="0.2">
      <c r="A2241" s="7" t="s">
        <v>283</v>
      </c>
      <c r="B2241">
        <v>73017</v>
      </c>
      <c r="C2241">
        <v>40</v>
      </c>
      <c r="D2241">
        <v>6</v>
      </c>
      <c r="E2241" s="7" t="s">
        <v>127</v>
      </c>
      <c r="F2241" s="7" t="s">
        <v>115</v>
      </c>
    </row>
    <row r="2242" spans="1:6" x14ac:dyDescent="0.2">
      <c r="A2242" s="7" t="s">
        <v>283</v>
      </c>
      <c r="B2242">
        <v>73017</v>
      </c>
      <c r="C2242">
        <v>41</v>
      </c>
      <c r="D2242">
        <v>6</v>
      </c>
      <c r="E2242" s="7" t="s">
        <v>127</v>
      </c>
      <c r="F2242" s="7" t="s">
        <v>115</v>
      </c>
    </row>
    <row r="2243" spans="1:6" x14ac:dyDescent="0.2">
      <c r="A2243" s="7" t="s">
        <v>283</v>
      </c>
      <c r="B2243">
        <v>73017</v>
      </c>
      <c r="C2243">
        <v>42</v>
      </c>
      <c r="D2243">
        <v>6</v>
      </c>
      <c r="E2243" s="7" t="s">
        <v>127</v>
      </c>
      <c r="F2243" s="7" t="s">
        <v>115</v>
      </c>
    </row>
    <row r="2244" spans="1:6" x14ac:dyDescent="0.2">
      <c r="A2244" s="7" t="s">
        <v>283</v>
      </c>
      <c r="B2244">
        <v>73017</v>
      </c>
      <c r="C2244">
        <v>43</v>
      </c>
      <c r="D2244">
        <v>7</v>
      </c>
      <c r="E2244" s="7" t="s">
        <v>127</v>
      </c>
      <c r="F2244" s="7" t="s">
        <v>115</v>
      </c>
    </row>
    <row r="2245" spans="1:6" x14ac:dyDescent="0.2">
      <c r="A2245" s="7" t="s">
        <v>283</v>
      </c>
      <c r="B2245">
        <v>73017</v>
      </c>
      <c r="C2245">
        <v>44</v>
      </c>
      <c r="D2245">
        <v>7</v>
      </c>
      <c r="E2245" s="7" t="s">
        <v>127</v>
      </c>
      <c r="F2245" s="7" t="s">
        <v>115</v>
      </c>
    </row>
    <row r="2246" spans="1:6" x14ac:dyDescent="0.2">
      <c r="A2246" s="7" t="s">
        <v>283</v>
      </c>
      <c r="B2246">
        <v>73017</v>
      </c>
      <c r="C2246">
        <v>45</v>
      </c>
      <c r="D2246">
        <v>7</v>
      </c>
      <c r="E2246" s="7" t="s">
        <v>127</v>
      </c>
      <c r="F2246" s="7" t="s">
        <v>115</v>
      </c>
    </row>
    <row r="2247" spans="1:6" x14ac:dyDescent="0.2">
      <c r="A2247" s="7" t="s">
        <v>283</v>
      </c>
      <c r="B2247">
        <v>73017</v>
      </c>
      <c r="C2247">
        <v>46</v>
      </c>
      <c r="D2247">
        <v>7</v>
      </c>
      <c r="E2247" s="7" t="s">
        <v>127</v>
      </c>
      <c r="F2247" s="7" t="s">
        <v>115</v>
      </c>
    </row>
    <row r="2248" spans="1:6" x14ac:dyDescent="0.2">
      <c r="A2248" s="7" t="s">
        <v>283</v>
      </c>
      <c r="B2248">
        <v>73017</v>
      </c>
      <c r="C2248">
        <v>47</v>
      </c>
      <c r="D2248">
        <v>7</v>
      </c>
      <c r="E2248" s="7" t="s">
        <v>127</v>
      </c>
      <c r="F2248" s="7" t="s">
        <v>115</v>
      </c>
    </row>
    <row r="2249" spans="1:6" x14ac:dyDescent="0.2">
      <c r="A2249" s="7" t="s">
        <v>283</v>
      </c>
      <c r="B2249">
        <v>73017</v>
      </c>
      <c r="C2249">
        <v>48</v>
      </c>
      <c r="D2249">
        <v>7</v>
      </c>
      <c r="E2249" s="7" t="s">
        <v>127</v>
      </c>
      <c r="F2249" s="7" t="s">
        <v>115</v>
      </c>
    </row>
    <row r="2250" spans="1:6" x14ac:dyDescent="0.2">
      <c r="A2250" s="7" t="s">
        <v>283</v>
      </c>
      <c r="B2250">
        <v>73017</v>
      </c>
      <c r="C2250">
        <v>49</v>
      </c>
      <c r="D2250">
        <v>7</v>
      </c>
      <c r="E2250" s="7" t="s">
        <v>200</v>
      </c>
      <c r="F2250" s="7" t="s">
        <v>115</v>
      </c>
    </row>
    <row r="2251" spans="1:6" x14ac:dyDescent="0.2">
      <c r="A2251" s="7" t="s">
        <v>283</v>
      </c>
      <c r="B2251">
        <v>73017</v>
      </c>
      <c r="C2251">
        <v>50</v>
      </c>
      <c r="D2251">
        <v>8</v>
      </c>
      <c r="E2251" s="7" t="s">
        <v>127</v>
      </c>
      <c r="F2251" s="7" t="s">
        <v>115</v>
      </c>
    </row>
    <row r="2252" spans="1:6" x14ac:dyDescent="0.2">
      <c r="A2252" s="7" t="s">
        <v>283</v>
      </c>
      <c r="B2252">
        <v>73017</v>
      </c>
      <c r="C2252">
        <v>51</v>
      </c>
      <c r="D2252">
        <v>8</v>
      </c>
      <c r="F2252" s="7" t="s">
        <v>115</v>
      </c>
    </row>
    <row r="2253" spans="1:6" x14ac:dyDescent="0.2">
      <c r="A2253" s="7" t="s">
        <v>283</v>
      </c>
      <c r="B2253">
        <v>73017</v>
      </c>
      <c r="C2253">
        <v>52</v>
      </c>
      <c r="D2253">
        <v>8</v>
      </c>
      <c r="F2253" s="7" t="s">
        <v>115</v>
      </c>
    </row>
    <row r="2254" spans="1:6" x14ac:dyDescent="0.2">
      <c r="A2254" s="7" t="s">
        <v>283</v>
      </c>
      <c r="B2254">
        <v>73017</v>
      </c>
      <c r="C2254">
        <v>53</v>
      </c>
      <c r="D2254">
        <v>8</v>
      </c>
      <c r="F2254" s="7" t="s">
        <v>115</v>
      </c>
    </row>
    <row r="2255" spans="1:6" x14ac:dyDescent="0.2">
      <c r="A2255" s="7" t="s">
        <v>283</v>
      </c>
      <c r="B2255">
        <v>73017</v>
      </c>
      <c r="C2255">
        <v>54</v>
      </c>
      <c r="D2255">
        <v>8</v>
      </c>
      <c r="F2255" s="7" t="s">
        <v>115</v>
      </c>
    </row>
    <row r="2256" spans="1:6" x14ac:dyDescent="0.2">
      <c r="A2256" s="7" t="s">
        <v>283</v>
      </c>
      <c r="B2256">
        <v>73017</v>
      </c>
      <c r="C2256">
        <v>55</v>
      </c>
      <c r="D2256">
        <v>8</v>
      </c>
      <c r="F2256" s="7" t="s">
        <v>115</v>
      </c>
    </row>
    <row r="2257" spans="1:7" x14ac:dyDescent="0.2">
      <c r="A2257" s="7" t="s">
        <v>283</v>
      </c>
      <c r="B2257">
        <v>73017</v>
      </c>
      <c r="C2257">
        <v>56</v>
      </c>
      <c r="D2257">
        <v>9</v>
      </c>
      <c r="E2257" s="7" t="s">
        <v>200</v>
      </c>
      <c r="F2257">
        <v>8</v>
      </c>
      <c r="G2257" s="7" t="s">
        <v>298</v>
      </c>
    </row>
    <row r="2258" spans="1:7" x14ac:dyDescent="0.2">
      <c r="A2258" s="7" t="s">
        <v>283</v>
      </c>
      <c r="B2258">
        <v>73017</v>
      </c>
      <c r="C2258">
        <v>57</v>
      </c>
      <c r="D2258">
        <v>9</v>
      </c>
      <c r="E2258" s="7" t="s">
        <v>127</v>
      </c>
      <c r="F2258" s="7" t="s">
        <v>115</v>
      </c>
    </row>
    <row r="2259" spans="1:7" x14ac:dyDescent="0.2">
      <c r="A2259" s="7" t="s">
        <v>283</v>
      </c>
      <c r="B2259">
        <v>73017</v>
      </c>
      <c r="C2259">
        <v>58</v>
      </c>
      <c r="D2259">
        <v>9</v>
      </c>
      <c r="E2259" s="7" t="s">
        <v>127</v>
      </c>
      <c r="F2259" s="7" t="s">
        <v>115</v>
      </c>
    </row>
    <row r="2260" spans="1:7" x14ac:dyDescent="0.2">
      <c r="A2260" s="7" t="s">
        <v>283</v>
      </c>
      <c r="B2260">
        <v>73017</v>
      </c>
      <c r="C2260">
        <v>59</v>
      </c>
      <c r="D2260">
        <v>9</v>
      </c>
      <c r="E2260" s="7" t="s">
        <v>127</v>
      </c>
      <c r="F2260">
        <v>45</v>
      </c>
    </row>
    <row r="2261" spans="1:7" x14ac:dyDescent="0.2">
      <c r="A2261" s="7" t="s">
        <v>283</v>
      </c>
      <c r="B2261">
        <v>73017</v>
      </c>
      <c r="C2261">
        <v>60</v>
      </c>
      <c r="D2261">
        <v>9</v>
      </c>
      <c r="E2261" s="7" t="s">
        <v>127</v>
      </c>
      <c r="F2261">
        <v>32</v>
      </c>
    </row>
    <row r="2262" spans="1:7" x14ac:dyDescent="0.2">
      <c r="A2262" s="7" t="s">
        <v>283</v>
      </c>
      <c r="B2262">
        <v>73017</v>
      </c>
      <c r="C2262">
        <v>61</v>
      </c>
      <c r="D2262">
        <v>9</v>
      </c>
      <c r="E2262" s="7" t="s">
        <v>127</v>
      </c>
      <c r="F2262">
        <v>45</v>
      </c>
    </row>
    <row r="2263" spans="1:7" x14ac:dyDescent="0.2">
      <c r="A2263" s="7" t="s">
        <v>283</v>
      </c>
      <c r="B2263">
        <v>73017</v>
      </c>
      <c r="C2263">
        <v>62</v>
      </c>
      <c r="D2263">
        <v>9</v>
      </c>
      <c r="E2263" s="7" t="s">
        <v>127</v>
      </c>
      <c r="F2263" s="7" t="s">
        <v>115</v>
      </c>
    </row>
    <row r="2264" spans="1:7" x14ac:dyDescent="0.2">
      <c r="A2264" s="7" t="s">
        <v>283</v>
      </c>
      <c r="B2264">
        <v>73017</v>
      </c>
      <c r="C2264">
        <v>63</v>
      </c>
      <c r="D2264">
        <v>9</v>
      </c>
      <c r="E2264" s="7" t="s">
        <v>127</v>
      </c>
      <c r="F2264" s="7" t="s">
        <v>115</v>
      </c>
    </row>
    <row r="2265" spans="1:7" x14ac:dyDescent="0.2">
      <c r="A2265" s="7" t="s">
        <v>283</v>
      </c>
      <c r="B2265">
        <v>73017</v>
      </c>
      <c r="C2265">
        <v>64</v>
      </c>
      <c r="D2265">
        <v>9</v>
      </c>
      <c r="E2265" s="7" t="s">
        <v>127</v>
      </c>
      <c r="F2265" s="7">
        <v>128</v>
      </c>
    </row>
    <row r="2266" spans="1:7" x14ac:dyDescent="0.2">
      <c r="A2266" s="7" t="s">
        <v>283</v>
      </c>
      <c r="B2266">
        <v>73017</v>
      </c>
      <c r="C2266">
        <v>65</v>
      </c>
      <c r="D2266">
        <v>10</v>
      </c>
      <c r="E2266" s="7" t="s">
        <v>127</v>
      </c>
      <c r="F2266" s="7" t="s">
        <v>115</v>
      </c>
    </row>
    <row r="2267" spans="1:7" x14ac:dyDescent="0.2">
      <c r="A2267" s="7" t="s">
        <v>283</v>
      </c>
      <c r="B2267">
        <v>73017</v>
      </c>
      <c r="C2267">
        <v>66</v>
      </c>
      <c r="D2267">
        <v>10</v>
      </c>
      <c r="E2267" s="7" t="s">
        <v>127</v>
      </c>
      <c r="F2267">
        <v>90</v>
      </c>
    </row>
    <row r="2268" spans="1:7" x14ac:dyDescent="0.2">
      <c r="A2268" s="7" t="s">
        <v>283</v>
      </c>
      <c r="B2268">
        <v>73017</v>
      </c>
      <c r="C2268">
        <v>67</v>
      </c>
      <c r="D2268">
        <v>10</v>
      </c>
      <c r="E2268" s="7" t="s">
        <v>127</v>
      </c>
      <c r="F2268">
        <v>90</v>
      </c>
    </row>
    <row r="2269" spans="1:7" x14ac:dyDescent="0.2">
      <c r="A2269" s="7" t="s">
        <v>283</v>
      </c>
      <c r="B2269">
        <v>73017</v>
      </c>
      <c r="C2269">
        <v>68</v>
      </c>
      <c r="D2269">
        <v>10</v>
      </c>
      <c r="E2269" s="7" t="s">
        <v>127</v>
      </c>
      <c r="F2269" s="7" t="s">
        <v>115</v>
      </c>
    </row>
    <row r="2270" spans="1:7" x14ac:dyDescent="0.2">
      <c r="A2270" s="7" t="s">
        <v>283</v>
      </c>
      <c r="B2270">
        <v>73017</v>
      </c>
      <c r="C2270">
        <v>69</v>
      </c>
      <c r="D2270">
        <v>10</v>
      </c>
      <c r="E2270" s="7" t="s">
        <v>127</v>
      </c>
      <c r="F2270" s="7" t="s">
        <v>115</v>
      </c>
    </row>
    <row r="2271" spans="1:7" x14ac:dyDescent="0.2">
      <c r="A2271" s="7" t="s">
        <v>283</v>
      </c>
      <c r="B2271">
        <v>73017</v>
      </c>
      <c r="C2271">
        <v>70</v>
      </c>
      <c r="D2271">
        <v>11</v>
      </c>
      <c r="E2271" s="7" t="s">
        <v>127</v>
      </c>
      <c r="F2271">
        <v>90</v>
      </c>
    </row>
    <row r="2272" spans="1:7" x14ac:dyDescent="0.2">
      <c r="A2272" s="7" t="s">
        <v>283</v>
      </c>
      <c r="B2272">
        <v>73017</v>
      </c>
      <c r="C2272">
        <v>71</v>
      </c>
      <c r="D2272">
        <v>11</v>
      </c>
      <c r="E2272" s="7" t="s">
        <v>127</v>
      </c>
      <c r="F2272" s="7" t="s">
        <v>115</v>
      </c>
    </row>
    <row r="2273" spans="1:6" x14ac:dyDescent="0.2">
      <c r="A2273" s="7" t="s">
        <v>283</v>
      </c>
      <c r="B2273">
        <v>73017</v>
      </c>
      <c r="C2273">
        <v>72</v>
      </c>
      <c r="D2273">
        <v>11</v>
      </c>
      <c r="E2273" s="7" t="s">
        <v>127</v>
      </c>
      <c r="F2273">
        <v>32</v>
      </c>
    </row>
    <row r="2274" spans="1:6" x14ac:dyDescent="0.2">
      <c r="A2274" s="7" t="s">
        <v>283</v>
      </c>
      <c r="B2274">
        <v>73017</v>
      </c>
      <c r="C2274">
        <v>73</v>
      </c>
      <c r="D2274">
        <v>11</v>
      </c>
      <c r="E2274" s="7" t="s">
        <v>127</v>
      </c>
      <c r="F2274">
        <v>11</v>
      </c>
    </row>
    <row r="2275" spans="1:6" x14ac:dyDescent="0.2">
      <c r="A2275" s="7" t="s">
        <v>283</v>
      </c>
      <c r="B2275">
        <v>73017</v>
      </c>
      <c r="C2275">
        <v>74</v>
      </c>
      <c r="D2275">
        <v>11</v>
      </c>
      <c r="E2275" s="7" t="s">
        <v>127</v>
      </c>
      <c r="F2275">
        <v>90</v>
      </c>
    </row>
    <row r="2276" spans="1:6" x14ac:dyDescent="0.2">
      <c r="A2276" s="7" t="s">
        <v>283</v>
      </c>
      <c r="B2276">
        <v>73017</v>
      </c>
      <c r="C2276">
        <v>75</v>
      </c>
      <c r="D2276">
        <v>11</v>
      </c>
      <c r="E2276" s="7" t="s">
        <v>127</v>
      </c>
      <c r="F2276">
        <v>32</v>
      </c>
    </row>
    <row r="2277" spans="1:6" x14ac:dyDescent="0.2">
      <c r="A2277" s="7" t="s">
        <v>283</v>
      </c>
      <c r="B2277">
        <v>73017</v>
      </c>
      <c r="C2277">
        <v>76</v>
      </c>
      <c r="D2277">
        <v>11</v>
      </c>
      <c r="E2277" s="7" t="s">
        <v>200</v>
      </c>
      <c r="F2277" s="7" t="s">
        <v>115</v>
      </c>
    </row>
    <row r="2278" spans="1:6" x14ac:dyDescent="0.2">
      <c r="A2278" s="7" t="s">
        <v>283</v>
      </c>
      <c r="B2278">
        <v>73017</v>
      </c>
      <c r="C2278">
        <v>77</v>
      </c>
      <c r="D2278">
        <v>12</v>
      </c>
      <c r="E2278" s="7" t="s">
        <v>127</v>
      </c>
      <c r="F2278" s="7">
        <v>16</v>
      </c>
    </row>
    <row r="2279" spans="1:6" x14ac:dyDescent="0.2">
      <c r="A2279" s="7" t="s">
        <v>283</v>
      </c>
      <c r="B2279">
        <v>73017</v>
      </c>
      <c r="C2279">
        <v>78</v>
      </c>
      <c r="D2279">
        <v>12</v>
      </c>
      <c r="E2279" s="7" t="s">
        <v>127</v>
      </c>
      <c r="F2279" s="7">
        <v>22.6</v>
      </c>
    </row>
    <row r="2280" spans="1:6" x14ac:dyDescent="0.2">
      <c r="A2280" s="7" t="s">
        <v>283</v>
      </c>
      <c r="B2280">
        <v>73017</v>
      </c>
      <c r="C2280">
        <v>79</v>
      </c>
      <c r="D2280">
        <v>12</v>
      </c>
      <c r="E2280" s="7" t="s">
        <v>127</v>
      </c>
      <c r="F2280" s="7">
        <v>22.6</v>
      </c>
    </row>
    <row r="2281" spans="1:6" x14ac:dyDescent="0.2">
      <c r="A2281" s="7" t="s">
        <v>283</v>
      </c>
      <c r="B2281">
        <v>73017</v>
      </c>
      <c r="C2281">
        <v>80</v>
      </c>
      <c r="D2281">
        <v>12</v>
      </c>
      <c r="E2281" s="7" t="s">
        <v>127</v>
      </c>
      <c r="F2281" s="7">
        <v>11</v>
      </c>
    </row>
    <row r="2282" spans="1:6" x14ac:dyDescent="0.2">
      <c r="A2282" s="7" t="s">
        <v>283</v>
      </c>
      <c r="B2282">
        <v>73017</v>
      </c>
      <c r="C2282">
        <v>81</v>
      </c>
      <c r="D2282">
        <v>12</v>
      </c>
      <c r="E2282" s="7" t="s">
        <v>130</v>
      </c>
      <c r="F2282" s="7" t="s">
        <v>115</v>
      </c>
    </row>
    <row r="2283" spans="1:6" x14ac:dyDescent="0.2">
      <c r="A2283" s="7" t="s">
        <v>283</v>
      </c>
      <c r="B2283">
        <v>73017</v>
      </c>
      <c r="C2283">
        <v>82</v>
      </c>
      <c r="D2283">
        <v>12</v>
      </c>
      <c r="E2283" s="7" t="s">
        <v>130</v>
      </c>
      <c r="F2283" s="7" t="s">
        <v>115</v>
      </c>
    </row>
    <row r="2284" spans="1:6" x14ac:dyDescent="0.2">
      <c r="A2284" s="7" t="s">
        <v>283</v>
      </c>
      <c r="B2284">
        <v>73017</v>
      </c>
      <c r="C2284">
        <v>83</v>
      </c>
      <c r="D2284">
        <v>13</v>
      </c>
      <c r="E2284" s="7" t="s">
        <v>127</v>
      </c>
      <c r="F2284" s="7" t="s">
        <v>115</v>
      </c>
    </row>
    <row r="2285" spans="1:6" x14ac:dyDescent="0.2">
      <c r="A2285" s="7" t="s">
        <v>283</v>
      </c>
      <c r="B2285">
        <v>73017</v>
      </c>
      <c r="C2285">
        <v>84</v>
      </c>
      <c r="D2285">
        <v>13</v>
      </c>
      <c r="E2285" s="7" t="s">
        <v>127</v>
      </c>
      <c r="F2285" s="7" t="s">
        <v>115</v>
      </c>
    </row>
    <row r="2286" spans="1:6" x14ac:dyDescent="0.2">
      <c r="A2286" s="7" t="s">
        <v>283</v>
      </c>
      <c r="B2286">
        <v>73017</v>
      </c>
      <c r="C2286">
        <v>85</v>
      </c>
      <c r="D2286">
        <v>13</v>
      </c>
      <c r="E2286" s="7" t="s">
        <v>127</v>
      </c>
      <c r="F2286">
        <v>16</v>
      </c>
    </row>
    <row r="2287" spans="1:6" x14ac:dyDescent="0.2">
      <c r="A2287" s="7" t="s">
        <v>283</v>
      </c>
      <c r="B2287">
        <v>73017</v>
      </c>
      <c r="C2287">
        <v>86</v>
      </c>
      <c r="D2287">
        <v>13</v>
      </c>
      <c r="E2287" s="7" t="s">
        <v>127</v>
      </c>
      <c r="F2287">
        <v>22.6</v>
      </c>
    </row>
    <row r="2288" spans="1:6" x14ac:dyDescent="0.2">
      <c r="A2288" s="7" t="s">
        <v>283</v>
      </c>
      <c r="B2288">
        <v>73017</v>
      </c>
      <c r="C2288">
        <v>87</v>
      </c>
      <c r="D2288">
        <v>13</v>
      </c>
      <c r="E2288" s="7" t="s">
        <v>127</v>
      </c>
      <c r="F2288" s="7" t="s">
        <v>115</v>
      </c>
    </row>
    <row r="2289" spans="1:7" x14ac:dyDescent="0.2">
      <c r="A2289" s="7" t="s">
        <v>283</v>
      </c>
      <c r="B2289">
        <v>73017</v>
      </c>
      <c r="C2289">
        <v>88</v>
      </c>
      <c r="D2289">
        <v>13</v>
      </c>
      <c r="E2289" s="7" t="s">
        <v>127</v>
      </c>
      <c r="F2289">
        <v>22.6</v>
      </c>
    </row>
    <row r="2290" spans="1:7" x14ac:dyDescent="0.2">
      <c r="A2290" s="7" t="s">
        <v>283</v>
      </c>
      <c r="B2290">
        <v>73017</v>
      </c>
      <c r="C2290">
        <v>89</v>
      </c>
      <c r="D2290">
        <v>14</v>
      </c>
      <c r="E2290" s="7" t="s">
        <v>127</v>
      </c>
      <c r="F2290">
        <v>16</v>
      </c>
    </row>
    <row r="2291" spans="1:7" x14ac:dyDescent="0.2">
      <c r="A2291" s="7" t="s">
        <v>283</v>
      </c>
      <c r="B2291">
        <v>73017</v>
      </c>
      <c r="C2291">
        <v>90</v>
      </c>
      <c r="D2291">
        <v>14</v>
      </c>
      <c r="E2291" s="7" t="s">
        <v>127</v>
      </c>
      <c r="F2291">
        <v>16</v>
      </c>
    </row>
    <row r="2292" spans="1:7" x14ac:dyDescent="0.2">
      <c r="A2292" s="7" t="s">
        <v>283</v>
      </c>
      <c r="B2292">
        <v>73017</v>
      </c>
      <c r="C2292">
        <v>91</v>
      </c>
      <c r="D2292">
        <v>14</v>
      </c>
      <c r="E2292" s="7" t="s">
        <v>127</v>
      </c>
      <c r="F2292" s="7" t="s">
        <v>115</v>
      </c>
    </row>
    <row r="2293" spans="1:7" x14ac:dyDescent="0.2">
      <c r="A2293" s="7" t="s">
        <v>283</v>
      </c>
      <c r="B2293">
        <v>73017</v>
      </c>
      <c r="C2293">
        <v>92</v>
      </c>
      <c r="D2293">
        <v>14</v>
      </c>
      <c r="E2293" s="7" t="s">
        <v>127</v>
      </c>
      <c r="F2293" s="7" t="s">
        <v>115</v>
      </c>
    </row>
    <row r="2294" spans="1:7" x14ac:dyDescent="0.2">
      <c r="A2294" s="7" t="s">
        <v>283</v>
      </c>
      <c r="B2294">
        <v>73017</v>
      </c>
      <c r="C2294">
        <v>93</v>
      </c>
      <c r="D2294">
        <v>15</v>
      </c>
      <c r="E2294" s="7" t="s">
        <v>127</v>
      </c>
      <c r="F2294" s="7" t="s">
        <v>115</v>
      </c>
    </row>
    <row r="2295" spans="1:7" x14ac:dyDescent="0.2">
      <c r="A2295" s="7" t="s">
        <v>283</v>
      </c>
      <c r="B2295">
        <v>73017</v>
      </c>
      <c r="C2295">
        <v>94</v>
      </c>
      <c r="D2295">
        <v>15</v>
      </c>
      <c r="E2295" s="7" t="s">
        <v>127</v>
      </c>
      <c r="F2295" s="7" t="s">
        <v>115</v>
      </c>
    </row>
    <row r="2296" spans="1:7" x14ac:dyDescent="0.2">
      <c r="A2296" s="7" t="s">
        <v>283</v>
      </c>
      <c r="B2296">
        <v>73017</v>
      </c>
      <c r="C2296">
        <v>95</v>
      </c>
      <c r="D2296">
        <v>15</v>
      </c>
      <c r="E2296" s="7" t="s">
        <v>127</v>
      </c>
      <c r="F2296" s="7" t="s">
        <v>115</v>
      </c>
    </row>
    <row r="2297" spans="1:7" x14ac:dyDescent="0.2">
      <c r="A2297" s="7" t="s">
        <v>283</v>
      </c>
      <c r="B2297">
        <v>73017</v>
      </c>
      <c r="C2297">
        <v>96</v>
      </c>
      <c r="D2297">
        <v>15</v>
      </c>
      <c r="E2297" s="7" t="s">
        <v>127</v>
      </c>
      <c r="F2297" s="7" t="s">
        <v>115</v>
      </c>
    </row>
    <row r="2298" spans="1:7" x14ac:dyDescent="0.2">
      <c r="A2298" s="7" t="s">
        <v>283</v>
      </c>
      <c r="B2298">
        <v>73017</v>
      </c>
      <c r="C2298">
        <v>97</v>
      </c>
      <c r="D2298">
        <v>15</v>
      </c>
      <c r="E2298" s="7" t="s">
        <v>127</v>
      </c>
      <c r="F2298" s="7" t="s">
        <v>115</v>
      </c>
    </row>
    <row r="2299" spans="1:7" x14ac:dyDescent="0.2">
      <c r="A2299" s="7" t="s">
        <v>283</v>
      </c>
      <c r="B2299">
        <v>73017</v>
      </c>
      <c r="C2299">
        <v>98</v>
      </c>
      <c r="D2299">
        <v>16</v>
      </c>
      <c r="E2299" s="7" t="s">
        <v>127</v>
      </c>
      <c r="F2299" s="7" t="s">
        <v>115</v>
      </c>
    </row>
    <row r="2300" spans="1:7" x14ac:dyDescent="0.2">
      <c r="A2300" s="7" t="s">
        <v>283</v>
      </c>
      <c r="B2300">
        <v>73017</v>
      </c>
      <c r="C2300">
        <v>99</v>
      </c>
      <c r="D2300">
        <v>16</v>
      </c>
      <c r="E2300" s="7" t="s">
        <v>127</v>
      </c>
      <c r="F2300" s="7" t="s">
        <v>115</v>
      </c>
    </row>
    <row r="2301" spans="1:7" x14ac:dyDescent="0.2">
      <c r="A2301" s="7" t="s">
        <v>283</v>
      </c>
      <c r="B2301">
        <v>73017</v>
      </c>
      <c r="C2301">
        <v>100</v>
      </c>
      <c r="D2301">
        <v>16</v>
      </c>
      <c r="E2301" s="7" t="s">
        <v>127</v>
      </c>
      <c r="F2301">
        <v>16</v>
      </c>
    </row>
    <row r="2302" spans="1:7" x14ac:dyDescent="0.2">
      <c r="A2302" s="7" t="s">
        <v>280</v>
      </c>
      <c r="B2302">
        <v>80117</v>
      </c>
      <c r="C2302">
        <v>1</v>
      </c>
      <c r="D2302">
        <v>1</v>
      </c>
      <c r="E2302" s="7" t="s">
        <v>200</v>
      </c>
      <c r="F2302" s="7">
        <v>45</v>
      </c>
      <c r="G2302" s="7" t="s">
        <v>300</v>
      </c>
    </row>
    <row r="2303" spans="1:7" x14ac:dyDescent="0.2">
      <c r="A2303" s="7" t="s">
        <v>280</v>
      </c>
      <c r="B2303">
        <v>80117</v>
      </c>
      <c r="C2303">
        <v>2</v>
      </c>
      <c r="D2303">
        <v>1</v>
      </c>
      <c r="E2303" s="7" t="s">
        <v>200</v>
      </c>
      <c r="F2303">
        <v>128</v>
      </c>
    </row>
    <row r="2304" spans="1:7" x14ac:dyDescent="0.2">
      <c r="A2304" s="7" t="s">
        <v>280</v>
      </c>
      <c r="B2304">
        <v>80117</v>
      </c>
      <c r="C2304">
        <v>3</v>
      </c>
      <c r="D2304">
        <v>1</v>
      </c>
      <c r="E2304" s="7" t="s">
        <v>200</v>
      </c>
      <c r="F2304">
        <v>45</v>
      </c>
    </row>
    <row r="2305" spans="1:6" x14ac:dyDescent="0.2">
      <c r="A2305" s="7" t="s">
        <v>280</v>
      </c>
      <c r="B2305">
        <v>80117</v>
      </c>
      <c r="C2305">
        <v>4</v>
      </c>
      <c r="D2305">
        <v>1</v>
      </c>
      <c r="E2305" s="7" t="s">
        <v>200</v>
      </c>
      <c r="F2305">
        <v>180</v>
      </c>
    </row>
    <row r="2306" spans="1:6" x14ac:dyDescent="0.2">
      <c r="A2306" s="7" t="s">
        <v>280</v>
      </c>
      <c r="B2306">
        <v>80117</v>
      </c>
      <c r="C2306">
        <v>5</v>
      </c>
      <c r="D2306">
        <v>1</v>
      </c>
      <c r="E2306" s="7" t="s">
        <v>200</v>
      </c>
      <c r="F2306">
        <v>22.6</v>
      </c>
    </row>
    <row r="2307" spans="1:6" x14ac:dyDescent="0.2">
      <c r="A2307" s="7" t="s">
        <v>280</v>
      </c>
      <c r="B2307">
        <v>80117</v>
      </c>
      <c r="C2307">
        <v>6</v>
      </c>
      <c r="D2307">
        <v>1</v>
      </c>
      <c r="E2307" s="7" t="s">
        <v>200</v>
      </c>
      <c r="F2307">
        <v>16</v>
      </c>
    </row>
    <row r="2308" spans="1:6" x14ac:dyDescent="0.2">
      <c r="A2308" s="7" t="s">
        <v>280</v>
      </c>
      <c r="B2308">
        <v>80117</v>
      </c>
      <c r="C2308">
        <v>7</v>
      </c>
      <c r="D2308">
        <v>1</v>
      </c>
      <c r="E2308" s="7" t="s">
        <v>200</v>
      </c>
      <c r="F2308">
        <v>16</v>
      </c>
    </row>
    <row r="2309" spans="1:6" x14ac:dyDescent="0.2">
      <c r="A2309" s="7" t="s">
        <v>280</v>
      </c>
      <c r="B2309">
        <v>80117</v>
      </c>
      <c r="C2309">
        <v>8</v>
      </c>
      <c r="D2309">
        <v>1</v>
      </c>
      <c r="E2309" s="7" t="s">
        <v>200</v>
      </c>
      <c r="F2309">
        <v>22.6</v>
      </c>
    </row>
    <row r="2310" spans="1:6" x14ac:dyDescent="0.2">
      <c r="A2310" s="7" t="s">
        <v>280</v>
      </c>
      <c r="B2310">
        <v>80117</v>
      </c>
      <c r="C2310">
        <v>9</v>
      </c>
      <c r="D2310">
        <v>1</v>
      </c>
      <c r="E2310" s="7" t="s">
        <v>200</v>
      </c>
      <c r="F2310">
        <v>4</v>
      </c>
    </row>
    <row r="2311" spans="1:6" x14ac:dyDescent="0.2">
      <c r="A2311" s="7" t="s">
        <v>280</v>
      </c>
      <c r="B2311">
        <v>80117</v>
      </c>
      <c r="C2311">
        <v>10</v>
      </c>
      <c r="D2311">
        <v>1</v>
      </c>
      <c r="E2311" s="7" t="s">
        <v>200</v>
      </c>
      <c r="F2311">
        <v>32</v>
      </c>
    </row>
    <row r="2312" spans="1:6" x14ac:dyDescent="0.2">
      <c r="A2312" s="7" t="s">
        <v>280</v>
      </c>
      <c r="B2312">
        <v>80117</v>
      </c>
      <c r="C2312">
        <v>11</v>
      </c>
      <c r="D2312">
        <v>1</v>
      </c>
      <c r="E2312" s="7" t="s">
        <v>200</v>
      </c>
      <c r="F2312">
        <v>32</v>
      </c>
    </row>
    <row r="2313" spans="1:6" x14ac:dyDescent="0.2">
      <c r="A2313" s="7" t="s">
        <v>280</v>
      </c>
      <c r="B2313">
        <v>80117</v>
      </c>
      <c r="C2313">
        <v>12</v>
      </c>
      <c r="D2313">
        <v>1</v>
      </c>
      <c r="E2313" s="7" t="s">
        <v>200</v>
      </c>
      <c r="F2313">
        <v>180</v>
      </c>
    </row>
    <row r="2314" spans="1:6" x14ac:dyDescent="0.2">
      <c r="A2314" s="7" t="s">
        <v>280</v>
      </c>
      <c r="B2314">
        <v>80117</v>
      </c>
      <c r="C2314">
        <v>13</v>
      </c>
      <c r="D2314">
        <v>1</v>
      </c>
      <c r="E2314" s="7" t="s">
        <v>127</v>
      </c>
      <c r="F2314">
        <v>32</v>
      </c>
    </row>
    <row r="2315" spans="1:6" x14ac:dyDescent="0.2">
      <c r="A2315" s="7" t="s">
        <v>280</v>
      </c>
      <c r="B2315">
        <v>80117</v>
      </c>
      <c r="C2315">
        <v>14</v>
      </c>
      <c r="D2315">
        <v>1</v>
      </c>
      <c r="E2315" s="7" t="s">
        <v>127</v>
      </c>
      <c r="F2315">
        <v>11</v>
      </c>
    </row>
    <row r="2316" spans="1:6" x14ac:dyDescent="0.2">
      <c r="A2316" s="7" t="s">
        <v>280</v>
      </c>
      <c r="B2316">
        <v>80117</v>
      </c>
      <c r="C2316">
        <v>15</v>
      </c>
      <c r="D2316">
        <v>1</v>
      </c>
      <c r="E2316" s="7" t="s">
        <v>127</v>
      </c>
      <c r="F2316">
        <v>32</v>
      </c>
    </row>
    <row r="2317" spans="1:6" x14ac:dyDescent="0.2">
      <c r="A2317" s="7" t="s">
        <v>280</v>
      </c>
      <c r="B2317">
        <v>80117</v>
      </c>
      <c r="C2317">
        <v>16</v>
      </c>
      <c r="D2317">
        <v>1</v>
      </c>
      <c r="E2317" s="7" t="s">
        <v>127</v>
      </c>
      <c r="F2317">
        <v>45</v>
      </c>
    </row>
    <row r="2318" spans="1:6" x14ac:dyDescent="0.2">
      <c r="A2318" s="7" t="s">
        <v>280</v>
      </c>
      <c r="B2318">
        <v>80117</v>
      </c>
      <c r="C2318">
        <v>17</v>
      </c>
      <c r="D2318">
        <v>1</v>
      </c>
      <c r="E2318" s="7" t="s">
        <v>127</v>
      </c>
      <c r="F2318">
        <v>45</v>
      </c>
    </row>
    <row r="2319" spans="1:6" x14ac:dyDescent="0.2">
      <c r="A2319" s="7" t="s">
        <v>280</v>
      </c>
      <c r="B2319">
        <v>80117</v>
      </c>
      <c r="C2319">
        <v>18</v>
      </c>
      <c r="D2319">
        <v>1</v>
      </c>
      <c r="E2319" s="7" t="s">
        <v>127</v>
      </c>
      <c r="F2319">
        <v>16</v>
      </c>
    </row>
    <row r="2320" spans="1:6" x14ac:dyDescent="0.2">
      <c r="A2320" s="7" t="s">
        <v>280</v>
      </c>
      <c r="B2320">
        <v>80117</v>
      </c>
      <c r="C2320">
        <v>19</v>
      </c>
      <c r="D2320">
        <v>1</v>
      </c>
      <c r="E2320" s="7" t="s">
        <v>127</v>
      </c>
      <c r="F2320">
        <v>32</v>
      </c>
    </row>
    <row r="2321" spans="1:6" x14ac:dyDescent="0.2">
      <c r="A2321" s="7" t="s">
        <v>280</v>
      </c>
      <c r="B2321">
        <v>80117</v>
      </c>
      <c r="C2321">
        <v>20</v>
      </c>
      <c r="D2321">
        <v>1</v>
      </c>
      <c r="E2321" s="7" t="s">
        <v>127</v>
      </c>
      <c r="F2321">
        <v>22.6</v>
      </c>
    </row>
    <row r="2322" spans="1:6" x14ac:dyDescent="0.2">
      <c r="A2322" s="7" t="s">
        <v>280</v>
      </c>
      <c r="B2322">
        <v>80117</v>
      </c>
      <c r="C2322">
        <v>21</v>
      </c>
      <c r="D2322">
        <v>1</v>
      </c>
      <c r="E2322" s="7" t="s">
        <v>127</v>
      </c>
      <c r="F2322">
        <v>90</v>
      </c>
    </row>
    <row r="2323" spans="1:6" x14ac:dyDescent="0.2">
      <c r="A2323" s="7" t="s">
        <v>280</v>
      </c>
      <c r="B2323">
        <v>80117</v>
      </c>
      <c r="C2323">
        <v>22</v>
      </c>
      <c r="D2323">
        <v>1</v>
      </c>
      <c r="E2323" s="7" t="s">
        <v>127</v>
      </c>
      <c r="F2323">
        <v>45</v>
      </c>
    </row>
    <row r="2324" spans="1:6" x14ac:dyDescent="0.2">
      <c r="A2324" s="7" t="s">
        <v>280</v>
      </c>
      <c r="B2324">
        <v>80117</v>
      </c>
      <c r="C2324">
        <v>23</v>
      </c>
      <c r="D2324">
        <v>1</v>
      </c>
      <c r="E2324" s="7" t="s">
        <v>127</v>
      </c>
      <c r="F2324">
        <v>22.6</v>
      </c>
    </row>
    <row r="2325" spans="1:6" x14ac:dyDescent="0.2">
      <c r="A2325" s="7" t="s">
        <v>280</v>
      </c>
      <c r="B2325">
        <v>80117</v>
      </c>
      <c r="C2325">
        <v>24</v>
      </c>
      <c r="D2325">
        <v>1</v>
      </c>
      <c r="E2325" s="7" t="s">
        <v>127</v>
      </c>
      <c r="F2325">
        <v>45</v>
      </c>
    </row>
    <row r="2326" spans="1:6" x14ac:dyDescent="0.2">
      <c r="A2326" s="7" t="s">
        <v>280</v>
      </c>
      <c r="B2326">
        <v>80117</v>
      </c>
      <c r="C2326">
        <v>25</v>
      </c>
      <c r="D2326">
        <v>1</v>
      </c>
      <c r="E2326" s="7" t="s">
        <v>127</v>
      </c>
      <c r="F2326">
        <v>16</v>
      </c>
    </row>
    <row r="2327" spans="1:6" x14ac:dyDescent="0.2">
      <c r="A2327" s="7" t="s">
        <v>280</v>
      </c>
      <c r="B2327">
        <v>80117</v>
      </c>
      <c r="C2327">
        <v>26</v>
      </c>
      <c r="D2327">
        <v>1</v>
      </c>
      <c r="E2327" s="7" t="s">
        <v>127</v>
      </c>
      <c r="F2327">
        <v>11</v>
      </c>
    </row>
    <row r="2328" spans="1:6" x14ac:dyDescent="0.2">
      <c r="A2328" s="7" t="s">
        <v>280</v>
      </c>
      <c r="B2328">
        <v>80117</v>
      </c>
      <c r="C2328">
        <v>27</v>
      </c>
      <c r="D2328">
        <v>1</v>
      </c>
      <c r="E2328" s="7" t="s">
        <v>127</v>
      </c>
      <c r="F2328">
        <v>64</v>
      </c>
    </row>
    <row r="2329" spans="1:6" x14ac:dyDescent="0.2">
      <c r="A2329" s="7" t="s">
        <v>280</v>
      </c>
      <c r="B2329">
        <v>80117</v>
      </c>
      <c r="C2329">
        <v>28</v>
      </c>
      <c r="D2329">
        <v>1</v>
      </c>
      <c r="E2329" s="7" t="s">
        <v>130</v>
      </c>
      <c r="F2329" s="7" t="s">
        <v>115</v>
      </c>
    </row>
    <row r="2330" spans="1:6" x14ac:dyDescent="0.2">
      <c r="A2330" s="7" t="s">
        <v>280</v>
      </c>
      <c r="B2330">
        <v>80117</v>
      </c>
      <c r="C2330">
        <v>29</v>
      </c>
      <c r="D2330">
        <v>1</v>
      </c>
      <c r="E2330" s="7" t="s">
        <v>200</v>
      </c>
      <c r="F2330" s="7">
        <v>90</v>
      </c>
    </row>
    <row r="2331" spans="1:6" x14ac:dyDescent="0.2">
      <c r="A2331" s="7" t="s">
        <v>280</v>
      </c>
      <c r="B2331">
        <v>80117</v>
      </c>
      <c r="C2331">
        <v>30</v>
      </c>
      <c r="D2331">
        <v>1</v>
      </c>
      <c r="E2331" s="7" t="s">
        <v>200</v>
      </c>
      <c r="F2331" s="7">
        <v>64</v>
      </c>
    </row>
    <row r="2332" spans="1:6" x14ac:dyDescent="0.2">
      <c r="A2332" s="7" t="s">
        <v>280</v>
      </c>
      <c r="B2332">
        <v>80117</v>
      </c>
      <c r="C2332">
        <v>31</v>
      </c>
      <c r="D2332">
        <v>1</v>
      </c>
      <c r="E2332" s="7" t="s">
        <v>200</v>
      </c>
      <c r="F2332" s="7">
        <v>45</v>
      </c>
    </row>
    <row r="2333" spans="1:6" x14ac:dyDescent="0.2">
      <c r="A2333" s="7" t="s">
        <v>280</v>
      </c>
      <c r="B2333">
        <v>80117</v>
      </c>
      <c r="C2333">
        <v>32</v>
      </c>
      <c r="D2333">
        <v>1</v>
      </c>
      <c r="E2333" s="7" t="s">
        <v>200</v>
      </c>
      <c r="F2333" s="7">
        <v>32</v>
      </c>
    </row>
    <row r="2334" spans="1:6" x14ac:dyDescent="0.2">
      <c r="A2334" s="7" t="s">
        <v>280</v>
      </c>
      <c r="B2334">
        <v>80117</v>
      </c>
      <c r="C2334">
        <v>33</v>
      </c>
      <c r="D2334">
        <v>1</v>
      </c>
      <c r="E2334" s="7" t="s">
        <v>200</v>
      </c>
      <c r="F2334" s="7">
        <v>64</v>
      </c>
    </row>
    <row r="2335" spans="1:6" x14ac:dyDescent="0.2">
      <c r="A2335" s="7" t="s">
        <v>280</v>
      </c>
      <c r="B2335">
        <v>80117</v>
      </c>
      <c r="C2335">
        <v>34</v>
      </c>
      <c r="D2335">
        <v>1</v>
      </c>
      <c r="E2335" s="7" t="s">
        <v>200</v>
      </c>
      <c r="F2335" s="7">
        <v>22.6</v>
      </c>
    </row>
    <row r="2336" spans="1:6" x14ac:dyDescent="0.2">
      <c r="A2336" s="7" t="s">
        <v>280</v>
      </c>
      <c r="B2336">
        <v>80117</v>
      </c>
      <c r="C2336">
        <v>35</v>
      </c>
      <c r="D2336">
        <v>1</v>
      </c>
      <c r="E2336" s="7" t="s">
        <v>200</v>
      </c>
      <c r="F2336" s="7">
        <v>5.6</v>
      </c>
    </row>
    <row r="2337" spans="1:6" x14ac:dyDescent="0.2">
      <c r="A2337" s="7" t="s">
        <v>280</v>
      </c>
      <c r="B2337">
        <v>80117</v>
      </c>
      <c r="C2337">
        <v>36</v>
      </c>
      <c r="D2337">
        <v>2</v>
      </c>
      <c r="E2337" s="7" t="s">
        <v>200</v>
      </c>
      <c r="F2337" s="7">
        <v>8</v>
      </c>
    </row>
    <row r="2338" spans="1:6" x14ac:dyDescent="0.2">
      <c r="A2338" s="7" t="s">
        <v>280</v>
      </c>
      <c r="B2338">
        <v>80117</v>
      </c>
      <c r="C2338">
        <v>37</v>
      </c>
      <c r="D2338">
        <v>2</v>
      </c>
      <c r="E2338" s="7" t="s">
        <v>200</v>
      </c>
      <c r="F2338" s="7">
        <v>4</v>
      </c>
    </row>
    <row r="2339" spans="1:6" x14ac:dyDescent="0.2">
      <c r="A2339" s="7" t="s">
        <v>280</v>
      </c>
      <c r="B2339">
        <v>80117</v>
      </c>
      <c r="C2339">
        <v>38</v>
      </c>
      <c r="D2339">
        <v>2</v>
      </c>
      <c r="E2339" s="7" t="s">
        <v>200</v>
      </c>
      <c r="F2339" s="7">
        <v>16</v>
      </c>
    </row>
    <row r="2340" spans="1:6" x14ac:dyDescent="0.2">
      <c r="A2340" s="7" t="s">
        <v>280</v>
      </c>
      <c r="B2340">
        <v>80117</v>
      </c>
      <c r="C2340">
        <v>39</v>
      </c>
      <c r="D2340">
        <v>2</v>
      </c>
      <c r="E2340" s="7" t="s">
        <v>200</v>
      </c>
      <c r="F2340" s="7">
        <v>2.8</v>
      </c>
    </row>
    <row r="2341" spans="1:6" x14ac:dyDescent="0.2">
      <c r="A2341" s="7" t="s">
        <v>280</v>
      </c>
      <c r="B2341">
        <v>80117</v>
      </c>
      <c r="C2341">
        <v>40</v>
      </c>
      <c r="D2341">
        <v>2</v>
      </c>
      <c r="E2341" s="7" t="s">
        <v>200</v>
      </c>
      <c r="F2341" s="7">
        <v>32</v>
      </c>
    </row>
    <row r="2342" spans="1:6" x14ac:dyDescent="0.2">
      <c r="A2342" s="7" t="s">
        <v>280</v>
      </c>
      <c r="B2342">
        <v>80117</v>
      </c>
      <c r="C2342">
        <v>41</v>
      </c>
      <c r="D2342">
        <v>2</v>
      </c>
      <c r="E2342" s="7" t="s">
        <v>200</v>
      </c>
      <c r="F2342" s="7">
        <v>90</v>
      </c>
    </row>
    <row r="2343" spans="1:6" x14ac:dyDescent="0.2">
      <c r="A2343" s="7" t="s">
        <v>280</v>
      </c>
      <c r="B2343">
        <v>80117</v>
      </c>
      <c r="C2343">
        <v>42</v>
      </c>
      <c r="D2343">
        <v>2</v>
      </c>
      <c r="E2343" s="7" t="s">
        <v>200</v>
      </c>
      <c r="F2343" s="7">
        <v>64</v>
      </c>
    </row>
    <row r="2344" spans="1:6" x14ac:dyDescent="0.2">
      <c r="A2344" s="7" t="s">
        <v>280</v>
      </c>
      <c r="B2344">
        <v>80117</v>
      </c>
      <c r="C2344">
        <v>43</v>
      </c>
      <c r="D2344">
        <v>2</v>
      </c>
      <c r="E2344" s="7" t="s">
        <v>200</v>
      </c>
      <c r="F2344" s="7">
        <v>90</v>
      </c>
    </row>
    <row r="2345" spans="1:6" x14ac:dyDescent="0.2">
      <c r="A2345" s="7" t="s">
        <v>280</v>
      </c>
      <c r="B2345">
        <v>80117</v>
      </c>
      <c r="C2345">
        <v>44</v>
      </c>
      <c r="D2345">
        <v>2</v>
      </c>
      <c r="E2345" s="7" t="s">
        <v>200</v>
      </c>
      <c r="F2345" s="7">
        <v>16</v>
      </c>
    </row>
    <row r="2346" spans="1:6" x14ac:dyDescent="0.2">
      <c r="A2346" s="7" t="s">
        <v>280</v>
      </c>
      <c r="B2346">
        <v>80117</v>
      </c>
      <c r="C2346">
        <v>45</v>
      </c>
      <c r="D2346">
        <v>2</v>
      </c>
      <c r="E2346" s="7" t="s">
        <v>130</v>
      </c>
      <c r="F2346" s="7">
        <v>64</v>
      </c>
    </row>
    <row r="2347" spans="1:6" x14ac:dyDescent="0.2">
      <c r="A2347" s="7" t="s">
        <v>280</v>
      </c>
      <c r="B2347">
        <v>80117</v>
      </c>
      <c r="C2347">
        <v>46</v>
      </c>
      <c r="D2347">
        <v>2</v>
      </c>
      <c r="E2347" s="7" t="s">
        <v>127</v>
      </c>
      <c r="F2347" s="7">
        <v>5.6</v>
      </c>
    </row>
    <row r="2348" spans="1:6" x14ac:dyDescent="0.2">
      <c r="A2348" s="7" t="s">
        <v>280</v>
      </c>
      <c r="B2348">
        <v>80117</v>
      </c>
      <c r="C2348">
        <v>47</v>
      </c>
      <c r="D2348">
        <v>2</v>
      </c>
      <c r="E2348" s="7" t="s">
        <v>127</v>
      </c>
      <c r="F2348" s="7">
        <v>128</v>
      </c>
    </row>
    <row r="2349" spans="1:6" x14ac:dyDescent="0.2">
      <c r="A2349" s="7" t="s">
        <v>280</v>
      </c>
      <c r="B2349">
        <v>80117</v>
      </c>
      <c r="C2349">
        <v>48</v>
      </c>
      <c r="D2349">
        <v>2</v>
      </c>
      <c r="E2349" s="7" t="s">
        <v>127</v>
      </c>
      <c r="F2349" s="7">
        <v>22.6</v>
      </c>
    </row>
    <row r="2350" spans="1:6" x14ac:dyDescent="0.2">
      <c r="A2350" s="7" t="s">
        <v>280</v>
      </c>
      <c r="B2350">
        <v>80117</v>
      </c>
      <c r="C2350">
        <v>49</v>
      </c>
      <c r="D2350">
        <v>2</v>
      </c>
      <c r="E2350" s="7" t="s">
        <v>127</v>
      </c>
      <c r="F2350" s="7">
        <v>22.6</v>
      </c>
    </row>
    <row r="2351" spans="1:6" x14ac:dyDescent="0.2">
      <c r="A2351" s="7" t="s">
        <v>280</v>
      </c>
      <c r="B2351">
        <v>80117</v>
      </c>
      <c r="C2351">
        <v>50</v>
      </c>
      <c r="D2351">
        <v>2</v>
      </c>
      <c r="E2351" s="7" t="s">
        <v>127</v>
      </c>
      <c r="F2351" s="7">
        <v>22.6</v>
      </c>
    </row>
    <row r="2352" spans="1:6" x14ac:dyDescent="0.2">
      <c r="A2352" s="7" t="s">
        <v>280</v>
      </c>
      <c r="B2352">
        <v>80117</v>
      </c>
      <c r="C2352">
        <v>51</v>
      </c>
      <c r="D2352">
        <v>2</v>
      </c>
      <c r="E2352" s="7" t="s">
        <v>127</v>
      </c>
      <c r="F2352" s="7">
        <v>45</v>
      </c>
    </row>
    <row r="2353" spans="1:6" x14ac:dyDescent="0.2">
      <c r="A2353" s="7" t="s">
        <v>280</v>
      </c>
      <c r="B2353">
        <v>80117</v>
      </c>
      <c r="C2353">
        <v>52</v>
      </c>
      <c r="D2353">
        <v>2</v>
      </c>
      <c r="E2353" s="7" t="s">
        <v>127</v>
      </c>
      <c r="F2353" s="7">
        <v>32</v>
      </c>
    </row>
    <row r="2354" spans="1:6" x14ac:dyDescent="0.2">
      <c r="A2354" s="7" t="s">
        <v>280</v>
      </c>
      <c r="B2354">
        <v>80117</v>
      </c>
      <c r="C2354">
        <v>53</v>
      </c>
      <c r="D2354">
        <v>2</v>
      </c>
      <c r="E2354" s="7" t="s">
        <v>127</v>
      </c>
      <c r="F2354" s="7">
        <v>64</v>
      </c>
    </row>
    <row r="2355" spans="1:6" x14ac:dyDescent="0.2">
      <c r="A2355" s="7" t="s">
        <v>280</v>
      </c>
      <c r="B2355">
        <v>80117</v>
      </c>
      <c r="C2355">
        <v>54</v>
      </c>
      <c r="D2355">
        <v>2</v>
      </c>
      <c r="E2355" s="7" t="s">
        <v>127</v>
      </c>
      <c r="F2355" s="7">
        <v>180</v>
      </c>
    </row>
    <row r="2356" spans="1:6" x14ac:dyDescent="0.2">
      <c r="A2356" s="7" t="s">
        <v>280</v>
      </c>
      <c r="B2356">
        <v>80117</v>
      </c>
      <c r="C2356">
        <v>55</v>
      </c>
      <c r="D2356">
        <v>2</v>
      </c>
      <c r="E2356" s="7" t="s">
        <v>127</v>
      </c>
      <c r="F2356" s="7">
        <v>16</v>
      </c>
    </row>
    <row r="2357" spans="1:6" x14ac:dyDescent="0.2">
      <c r="A2357" s="7" t="s">
        <v>280</v>
      </c>
      <c r="B2357">
        <v>80117</v>
      </c>
      <c r="C2357">
        <v>56</v>
      </c>
      <c r="D2357">
        <v>2</v>
      </c>
      <c r="E2357" s="7" t="s">
        <v>127</v>
      </c>
      <c r="F2357" s="7">
        <v>16</v>
      </c>
    </row>
    <row r="2358" spans="1:6" x14ac:dyDescent="0.2">
      <c r="A2358" s="7" t="s">
        <v>280</v>
      </c>
      <c r="B2358">
        <v>80117</v>
      </c>
      <c r="C2358">
        <v>57</v>
      </c>
      <c r="D2358">
        <v>2</v>
      </c>
      <c r="E2358" s="7" t="s">
        <v>127</v>
      </c>
      <c r="F2358" s="7">
        <v>22.6</v>
      </c>
    </row>
    <row r="2359" spans="1:6" x14ac:dyDescent="0.2">
      <c r="A2359" s="7" t="s">
        <v>280</v>
      </c>
      <c r="B2359">
        <v>80117</v>
      </c>
      <c r="C2359">
        <v>58</v>
      </c>
      <c r="D2359">
        <v>2</v>
      </c>
      <c r="E2359" s="7" t="s">
        <v>127</v>
      </c>
      <c r="F2359" s="7">
        <v>180</v>
      </c>
    </row>
    <row r="2360" spans="1:6" x14ac:dyDescent="0.2">
      <c r="A2360" s="7" t="s">
        <v>280</v>
      </c>
      <c r="B2360">
        <v>80117</v>
      </c>
      <c r="C2360">
        <v>59</v>
      </c>
      <c r="D2360">
        <v>2</v>
      </c>
      <c r="E2360" s="7" t="s">
        <v>130</v>
      </c>
      <c r="F2360" s="7">
        <v>5.6</v>
      </c>
    </row>
    <row r="2361" spans="1:6" x14ac:dyDescent="0.2">
      <c r="A2361" s="7" t="s">
        <v>280</v>
      </c>
      <c r="B2361">
        <v>80117</v>
      </c>
      <c r="C2361">
        <v>60</v>
      </c>
      <c r="D2361">
        <v>2</v>
      </c>
      <c r="E2361" s="7" t="s">
        <v>200</v>
      </c>
      <c r="F2361" s="7">
        <v>45</v>
      </c>
    </row>
    <row r="2362" spans="1:6" x14ac:dyDescent="0.2">
      <c r="A2362" s="7" t="s">
        <v>280</v>
      </c>
      <c r="B2362">
        <v>80117</v>
      </c>
      <c r="C2362">
        <v>61</v>
      </c>
      <c r="D2362">
        <v>2</v>
      </c>
      <c r="E2362" s="7" t="s">
        <v>200</v>
      </c>
      <c r="F2362" s="7">
        <v>32</v>
      </c>
    </row>
    <row r="2363" spans="1:6" x14ac:dyDescent="0.2">
      <c r="A2363" s="7" t="s">
        <v>280</v>
      </c>
      <c r="B2363">
        <v>80117</v>
      </c>
      <c r="C2363">
        <v>62</v>
      </c>
      <c r="D2363">
        <v>2</v>
      </c>
      <c r="E2363" s="7" t="s">
        <v>200</v>
      </c>
      <c r="F2363" s="7">
        <v>45</v>
      </c>
    </row>
    <row r="2364" spans="1:6" x14ac:dyDescent="0.2">
      <c r="A2364" s="7" t="s">
        <v>280</v>
      </c>
      <c r="B2364">
        <v>80117</v>
      </c>
      <c r="C2364">
        <v>63</v>
      </c>
      <c r="D2364">
        <v>2</v>
      </c>
      <c r="E2364" s="7" t="s">
        <v>200</v>
      </c>
      <c r="F2364" s="7">
        <v>64</v>
      </c>
    </row>
    <row r="2365" spans="1:6" x14ac:dyDescent="0.2">
      <c r="A2365" s="7" t="s">
        <v>280</v>
      </c>
      <c r="B2365">
        <v>80117</v>
      </c>
      <c r="C2365">
        <v>64</v>
      </c>
      <c r="D2365">
        <v>2</v>
      </c>
      <c r="E2365" s="7" t="s">
        <v>200</v>
      </c>
      <c r="F2365" s="7">
        <v>11</v>
      </c>
    </row>
    <row r="2366" spans="1:6" x14ac:dyDescent="0.2">
      <c r="A2366" s="7" t="s">
        <v>280</v>
      </c>
      <c r="B2366">
        <v>80117</v>
      </c>
      <c r="C2366">
        <v>65</v>
      </c>
      <c r="D2366">
        <v>2</v>
      </c>
      <c r="E2366" s="7" t="s">
        <v>200</v>
      </c>
      <c r="F2366" s="7">
        <v>45</v>
      </c>
    </row>
    <row r="2367" spans="1:6" x14ac:dyDescent="0.2">
      <c r="A2367" s="7" t="s">
        <v>280</v>
      </c>
      <c r="B2367">
        <v>80117</v>
      </c>
      <c r="C2367">
        <v>66</v>
      </c>
      <c r="D2367">
        <v>2</v>
      </c>
      <c r="E2367" s="7" t="s">
        <v>200</v>
      </c>
      <c r="F2367" s="7">
        <v>180</v>
      </c>
    </row>
    <row r="2368" spans="1:6" x14ac:dyDescent="0.2">
      <c r="A2368" s="7" t="s">
        <v>280</v>
      </c>
      <c r="B2368">
        <v>80117</v>
      </c>
      <c r="C2368">
        <v>67</v>
      </c>
      <c r="D2368">
        <v>2</v>
      </c>
      <c r="E2368" s="7" t="s">
        <v>200</v>
      </c>
      <c r="F2368" s="7">
        <v>128</v>
      </c>
    </row>
    <row r="2369" spans="1:6" x14ac:dyDescent="0.2">
      <c r="A2369" s="7" t="s">
        <v>280</v>
      </c>
      <c r="B2369">
        <v>80117</v>
      </c>
      <c r="C2369">
        <v>68</v>
      </c>
      <c r="D2369">
        <v>2</v>
      </c>
      <c r="E2369" s="7" t="s">
        <v>200</v>
      </c>
      <c r="F2369" s="7">
        <v>128</v>
      </c>
    </row>
    <row r="2370" spans="1:6" x14ac:dyDescent="0.2">
      <c r="A2370" s="7" t="s">
        <v>280</v>
      </c>
      <c r="B2370">
        <v>80117</v>
      </c>
      <c r="C2370">
        <v>69</v>
      </c>
      <c r="D2370">
        <v>2</v>
      </c>
      <c r="E2370" s="7" t="s">
        <v>200</v>
      </c>
      <c r="F2370" s="7">
        <v>64</v>
      </c>
    </row>
    <row r="2371" spans="1:6" x14ac:dyDescent="0.2">
      <c r="A2371" s="7" t="s">
        <v>280</v>
      </c>
      <c r="B2371">
        <v>80117</v>
      </c>
      <c r="C2371">
        <v>70</v>
      </c>
      <c r="D2371">
        <v>2</v>
      </c>
      <c r="E2371" s="7" t="s">
        <v>200</v>
      </c>
      <c r="F2371" s="7">
        <v>64</v>
      </c>
    </row>
    <row r="2372" spans="1:6" x14ac:dyDescent="0.2">
      <c r="A2372" s="7" t="s">
        <v>280</v>
      </c>
      <c r="B2372">
        <v>80117</v>
      </c>
      <c r="C2372">
        <v>71</v>
      </c>
      <c r="D2372">
        <v>2</v>
      </c>
      <c r="E2372" s="7" t="s">
        <v>200</v>
      </c>
      <c r="F2372" s="7">
        <v>11</v>
      </c>
    </row>
    <row r="2373" spans="1:6" x14ac:dyDescent="0.2">
      <c r="A2373" s="7" t="s">
        <v>280</v>
      </c>
      <c r="B2373">
        <v>80117</v>
      </c>
      <c r="C2373">
        <v>72</v>
      </c>
      <c r="D2373">
        <v>3</v>
      </c>
      <c r="E2373" s="7" t="s">
        <v>200</v>
      </c>
      <c r="F2373" s="7">
        <v>11</v>
      </c>
    </row>
    <row r="2374" spans="1:6" x14ac:dyDescent="0.2">
      <c r="A2374" s="7" t="s">
        <v>280</v>
      </c>
      <c r="B2374">
        <v>80117</v>
      </c>
      <c r="C2374">
        <v>73</v>
      </c>
      <c r="D2374">
        <v>3</v>
      </c>
      <c r="E2374" s="7" t="s">
        <v>200</v>
      </c>
      <c r="F2374" s="7">
        <v>45</v>
      </c>
    </row>
    <row r="2375" spans="1:6" x14ac:dyDescent="0.2">
      <c r="A2375" s="7" t="s">
        <v>280</v>
      </c>
      <c r="B2375">
        <v>80117</v>
      </c>
      <c r="C2375">
        <v>74</v>
      </c>
      <c r="D2375">
        <v>3</v>
      </c>
      <c r="E2375" s="7" t="s">
        <v>200</v>
      </c>
      <c r="F2375" s="7">
        <v>45</v>
      </c>
    </row>
    <row r="2376" spans="1:6" x14ac:dyDescent="0.2">
      <c r="A2376" s="7" t="s">
        <v>280</v>
      </c>
      <c r="B2376">
        <v>80117</v>
      </c>
      <c r="C2376">
        <v>75</v>
      </c>
      <c r="D2376">
        <v>3</v>
      </c>
      <c r="E2376" s="7" t="s">
        <v>200</v>
      </c>
      <c r="F2376" s="7">
        <v>64</v>
      </c>
    </row>
    <row r="2377" spans="1:6" x14ac:dyDescent="0.2">
      <c r="A2377" s="7" t="s">
        <v>280</v>
      </c>
      <c r="B2377">
        <v>80117</v>
      </c>
      <c r="C2377">
        <v>76</v>
      </c>
      <c r="D2377">
        <v>3</v>
      </c>
      <c r="E2377" s="7" t="s">
        <v>200</v>
      </c>
      <c r="F2377" s="7">
        <v>45</v>
      </c>
    </row>
    <row r="2378" spans="1:6" x14ac:dyDescent="0.2">
      <c r="A2378" s="7" t="s">
        <v>280</v>
      </c>
      <c r="B2378">
        <v>80117</v>
      </c>
      <c r="C2378">
        <v>77</v>
      </c>
      <c r="D2378">
        <v>3</v>
      </c>
      <c r="E2378" s="7" t="s">
        <v>200</v>
      </c>
      <c r="F2378" s="7">
        <v>45</v>
      </c>
    </row>
    <row r="2379" spans="1:6" x14ac:dyDescent="0.2">
      <c r="A2379" s="7" t="s">
        <v>280</v>
      </c>
      <c r="B2379">
        <v>80117</v>
      </c>
      <c r="C2379">
        <v>78</v>
      </c>
      <c r="D2379">
        <v>3</v>
      </c>
      <c r="E2379" s="7" t="s">
        <v>200</v>
      </c>
      <c r="F2379" s="7">
        <v>32</v>
      </c>
    </row>
    <row r="2380" spans="1:6" x14ac:dyDescent="0.2">
      <c r="A2380" s="7" t="s">
        <v>280</v>
      </c>
      <c r="B2380">
        <v>80117</v>
      </c>
      <c r="C2380">
        <v>79</v>
      </c>
      <c r="D2380">
        <v>3</v>
      </c>
      <c r="E2380" s="7" t="s">
        <v>200</v>
      </c>
      <c r="F2380" s="7">
        <v>22.6</v>
      </c>
    </row>
    <row r="2381" spans="1:6" x14ac:dyDescent="0.2">
      <c r="A2381" s="7" t="s">
        <v>280</v>
      </c>
      <c r="B2381">
        <v>80117</v>
      </c>
      <c r="C2381">
        <v>80</v>
      </c>
      <c r="D2381">
        <v>3</v>
      </c>
      <c r="E2381" s="7" t="s">
        <v>200</v>
      </c>
      <c r="F2381" s="7">
        <v>5.6</v>
      </c>
    </row>
    <row r="2382" spans="1:6" x14ac:dyDescent="0.2">
      <c r="A2382" s="7" t="s">
        <v>280</v>
      </c>
      <c r="B2382">
        <v>80117</v>
      </c>
      <c r="C2382">
        <v>81</v>
      </c>
      <c r="D2382">
        <v>3</v>
      </c>
      <c r="E2382" s="7" t="s">
        <v>200</v>
      </c>
      <c r="F2382" s="7">
        <v>22.6</v>
      </c>
    </row>
    <row r="2383" spans="1:6" x14ac:dyDescent="0.2">
      <c r="A2383" s="7" t="s">
        <v>280</v>
      </c>
      <c r="B2383">
        <v>80117</v>
      </c>
      <c r="C2383">
        <v>82</v>
      </c>
      <c r="D2383">
        <v>3</v>
      </c>
      <c r="E2383" s="7" t="s">
        <v>200</v>
      </c>
      <c r="F2383" s="7">
        <v>90</v>
      </c>
    </row>
    <row r="2384" spans="1:6" x14ac:dyDescent="0.2">
      <c r="A2384" s="7" t="s">
        <v>280</v>
      </c>
      <c r="B2384">
        <v>80117</v>
      </c>
      <c r="C2384">
        <v>83</v>
      </c>
      <c r="D2384">
        <v>3</v>
      </c>
      <c r="E2384" s="7" t="s">
        <v>130</v>
      </c>
      <c r="F2384" s="7">
        <v>22.6</v>
      </c>
    </row>
    <row r="2385" spans="1:6" x14ac:dyDescent="0.2">
      <c r="A2385" s="7" t="s">
        <v>280</v>
      </c>
      <c r="B2385">
        <v>80117</v>
      </c>
      <c r="C2385">
        <v>84</v>
      </c>
      <c r="D2385">
        <v>3</v>
      </c>
      <c r="E2385" s="7" t="s">
        <v>130</v>
      </c>
      <c r="F2385" s="7" t="s">
        <v>115</v>
      </c>
    </row>
    <row r="2386" spans="1:6" x14ac:dyDescent="0.2">
      <c r="A2386" s="7" t="s">
        <v>280</v>
      </c>
      <c r="B2386">
        <v>80117</v>
      </c>
      <c r="C2386">
        <v>85</v>
      </c>
      <c r="D2386">
        <v>3</v>
      </c>
      <c r="E2386" s="7" t="s">
        <v>130</v>
      </c>
      <c r="F2386" s="7">
        <v>22.6</v>
      </c>
    </row>
    <row r="2387" spans="1:6" x14ac:dyDescent="0.2">
      <c r="A2387" s="7" t="s">
        <v>280</v>
      </c>
      <c r="B2387">
        <v>80117</v>
      </c>
      <c r="C2387">
        <v>86</v>
      </c>
      <c r="D2387">
        <v>3</v>
      </c>
      <c r="E2387" s="7" t="s">
        <v>127</v>
      </c>
      <c r="F2387" s="7">
        <v>2</v>
      </c>
    </row>
    <row r="2388" spans="1:6" x14ac:dyDescent="0.2">
      <c r="A2388" s="7" t="s">
        <v>280</v>
      </c>
      <c r="B2388">
        <v>80117</v>
      </c>
      <c r="C2388">
        <v>87</v>
      </c>
      <c r="D2388">
        <v>3</v>
      </c>
      <c r="E2388" s="7" t="s">
        <v>127</v>
      </c>
      <c r="F2388" s="7">
        <v>11</v>
      </c>
    </row>
    <row r="2389" spans="1:6" x14ac:dyDescent="0.2">
      <c r="A2389" s="7" t="s">
        <v>280</v>
      </c>
      <c r="B2389">
        <v>80117</v>
      </c>
      <c r="C2389">
        <v>88</v>
      </c>
      <c r="D2389">
        <v>3</v>
      </c>
      <c r="E2389" s="7" t="s">
        <v>127</v>
      </c>
      <c r="F2389" s="7">
        <v>32</v>
      </c>
    </row>
    <row r="2390" spans="1:6" x14ac:dyDescent="0.2">
      <c r="A2390" s="7" t="s">
        <v>280</v>
      </c>
      <c r="B2390">
        <v>80117</v>
      </c>
      <c r="C2390">
        <v>89</v>
      </c>
      <c r="D2390">
        <v>3</v>
      </c>
      <c r="E2390" s="7" t="s">
        <v>127</v>
      </c>
      <c r="F2390" s="7">
        <v>45</v>
      </c>
    </row>
    <row r="2391" spans="1:6" x14ac:dyDescent="0.2">
      <c r="A2391" s="7" t="s">
        <v>280</v>
      </c>
      <c r="B2391">
        <v>80117</v>
      </c>
      <c r="C2391">
        <v>90</v>
      </c>
      <c r="D2391">
        <v>3</v>
      </c>
      <c r="E2391" s="7" t="s">
        <v>127</v>
      </c>
      <c r="F2391" s="7">
        <v>22.6</v>
      </c>
    </row>
    <row r="2392" spans="1:6" x14ac:dyDescent="0.2">
      <c r="A2392" s="7" t="s">
        <v>280</v>
      </c>
      <c r="B2392">
        <v>80117</v>
      </c>
      <c r="C2392">
        <v>91</v>
      </c>
      <c r="D2392">
        <v>3</v>
      </c>
      <c r="E2392" s="7" t="s">
        <v>127</v>
      </c>
      <c r="F2392" s="7">
        <v>16</v>
      </c>
    </row>
    <row r="2393" spans="1:6" x14ac:dyDescent="0.2">
      <c r="A2393" s="7" t="s">
        <v>280</v>
      </c>
      <c r="B2393">
        <v>80117</v>
      </c>
      <c r="C2393">
        <v>92</v>
      </c>
      <c r="D2393">
        <v>3</v>
      </c>
      <c r="E2393" s="7" t="s">
        <v>127</v>
      </c>
      <c r="F2393" s="7">
        <v>16</v>
      </c>
    </row>
    <row r="2394" spans="1:6" x14ac:dyDescent="0.2">
      <c r="A2394" s="7" t="s">
        <v>280</v>
      </c>
      <c r="B2394">
        <v>80117</v>
      </c>
      <c r="C2394">
        <v>93</v>
      </c>
      <c r="D2394">
        <v>3</v>
      </c>
      <c r="E2394" s="7" t="s">
        <v>127</v>
      </c>
      <c r="F2394" s="7">
        <v>64</v>
      </c>
    </row>
    <row r="2395" spans="1:6" x14ac:dyDescent="0.2">
      <c r="A2395" s="7" t="s">
        <v>280</v>
      </c>
      <c r="B2395">
        <v>80117</v>
      </c>
      <c r="C2395">
        <v>94</v>
      </c>
      <c r="D2395">
        <v>3</v>
      </c>
      <c r="E2395" s="7" t="s">
        <v>127</v>
      </c>
      <c r="F2395" s="7">
        <v>64</v>
      </c>
    </row>
    <row r="2396" spans="1:6" x14ac:dyDescent="0.2">
      <c r="A2396" s="7" t="s">
        <v>280</v>
      </c>
      <c r="B2396">
        <v>80117</v>
      </c>
      <c r="C2396">
        <v>95</v>
      </c>
      <c r="D2396">
        <v>3</v>
      </c>
      <c r="E2396" s="7" t="s">
        <v>127</v>
      </c>
      <c r="F2396" s="7">
        <v>128</v>
      </c>
    </row>
    <row r="2397" spans="1:6" x14ac:dyDescent="0.2">
      <c r="A2397" s="7" t="s">
        <v>280</v>
      </c>
      <c r="B2397">
        <v>80117</v>
      </c>
      <c r="C2397">
        <v>96</v>
      </c>
      <c r="D2397">
        <v>3</v>
      </c>
      <c r="E2397" s="7" t="s">
        <v>127</v>
      </c>
      <c r="F2397" s="7">
        <v>64</v>
      </c>
    </row>
    <row r="2398" spans="1:6" x14ac:dyDescent="0.2">
      <c r="A2398" s="7" t="s">
        <v>280</v>
      </c>
      <c r="B2398">
        <v>80117</v>
      </c>
      <c r="C2398">
        <v>97</v>
      </c>
      <c r="D2398">
        <v>3</v>
      </c>
      <c r="E2398" s="7" t="s">
        <v>127</v>
      </c>
      <c r="F2398" s="7">
        <v>64</v>
      </c>
    </row>
    <row r="2399" spans="1:6" x14ac:dyDescent="0.2">
      <c r="A2399" s="7" t="s">
        <v>280</v>
      </c>
      <c r="B2399">
        <v>80117</v>
      </c>
      <c r="C2399">
        <v>98</v>
      </c>
      <c r="D2399">
        <v>3</v>
      </c>
      <c r="E2399" s="7" t="s">
        <v>127</v>
      </c>
      <c r="F2399" s="7">
        <v>16</v>
      </c>
    </row>
    <row r="2400" spans="1:6" x14ac:dyDescent="0.2">
      <c r="A2400" s="7" t="s">
        <v>280</v>
      </c>
      <c r="B2400">
        <v>80117</v>
      </c>
      <c r="C2400">
        <v>99</v>
      </c>
      <c r="D2400">
        <v>3</v>
      </c>
      <c r="E2400" s="7" t="s">
        <v>130</v>
      </c>
      <c r="F2400" s="7">
        <v>22.6</v>
      </c>
    </row>
    <row r="2401" spans="1:7" x14ac:dyDescent="0.2">
      <c r="A2401" s="7" t="s">
        <v>280</v>
      </c>
      <c r="B2401">
        <v>80117</v>
      </c>
      <c r="C2401">
        <v>100</v>
      </c>
      <c r="D2401">
        <v>3</v>
      </c>
      <c r="E2401" s="7" t="s">
        <v>130</v>
      </c>
      <c r="F2401" s="7">
        <v>2.8</v>
      </c>
    </row>
    <row r="2402" spans="1:7" x14ac:dyDescent="0.2">
      <c r="A2402" s="7" t="s">
        <v>302</v>
      </c>
      <c r="B2402">
        <v>80317</v>
      </c>
      <c r="C2402" s="7" t="s">
        <v>106</v>
      </c>
      <c r="D2402" s="7" t="s">
        <v>106</v>
      </c>
      <c r="E2402" s="7" t="s">
        <v>106</v>
      </c>
      <c r="F2402" s="7" t="s">
        <v>106</v>
      </c>
      <c r="G2402" s="7" t="s">
        <v>319</v>
      </c>
    </row>
    <row r="2403" spans="1:7" x14ac:dyDescent="0.2">
      <c r="A2403" t="s">
        <v>363</v>
      </c>
      <c r="B2403">
        <v>80317</v>
      </c>
      <c r="C2403">
        <v>1</v>
      </c>
      <c r="D2403" s="7">
        <v>1</v>
      </c>
      <c r="E2403" s="7" t="s">
        <v>125</v>
      </c>
      <c r="F2403" s="7" t="s">
        <v>115</v>
      </c>
    </row>
    <row r="2404" spans="1:7" x14ac:dyDescent="0.2">
      <c r="A2404" t="s">
        <v>363</v>
      </c>
      <c r="B2404">
        <v>80317</v>
      </c>
      <c r="C2404">
        <v>2</v>
      </c>
      <c r="D2404" s="7">
        <v>1</v>
      </c>
      <c r="E2404" s="7" t="s">
        <v>125</v>
      </c>
      <c r="F2404" s="7" t="s">
        <v>115</v>
      </c>
    </row>
    <row r="2405" spans="1:7" x14ac:dyDescent="0.2">
      <c r="A2405" t="s">
        <v>363</v>
      </c>
      <c r="B2405">
        <v>80317</v>
      </c>
      <c r="C2405">
        <v>3</v>
      </c>
      <c r="D2405" s="7">
        <v>1</v>
      </c>
      <c r="E2405" s="7" t="s">
        <v>125</v>
      </c>
      <c r="F2405" s="7" t="s">
        <v>115</v>
      </c>
    </row>
    <row r="2406" spans="1:7" x14ac:dyDescent="0.2">
      <c r="A2406" t="s">
        <v>363</v>
      </c>
      <c r="B2406">
        <v>80317</v>
      </c>
      <c r="C2406">
        <v>4</v>
      </c>
      <c r="D2406" s="7">
        <v>1</v>
      </c>
      <c r="E2406" s="7" t="s">
        <v>125</v>
      </c>
      <c r="F2406" s="7" t="s">
        <v>115</v>
      </c>
    </row>
    <row r="2407" spans="1:7" x14ac:dyDescent="0.2">
      <c r="A2407" t="s">
        <v>363</v>
      </c>
      <c r="B2407">
        <v>80317</v>
      </c>
      <c r="C2407">
        <v>5</v>
      </c>
      <c r="D2407" s="7">
        <v>1</v>
      </c>
      <c r="E2407" s="7" t="s">
        <v>125</v>
      </c>
      <c r="F2407" s="7" t="s">
        <v>115</v>
      </c>
    </row>
    <row r="2408" spans="1:7" x14ac:dyDescent="0.2">
      <c r="A2408" t="s">
        <v>363</v>
      </c>
      <c r="B2408">
        <v>80317</v>
      </c>
      <c r="C2408">
        <v>6</v>
      </c>
      <c r="D2408" s="7">
        <v>1</v>
      </c>
      <c r="E2408" s="7" t="s">
        <v>125</v>
      </c>
      <c r="F2408" s="7" t="s">
        <v>115</v>
      </c>
    </row>
    <row r="2409" spans="1:7" x14ac:dyDescent="0.2">
      <c r="A2409" t="s">
        <v>363</v>
      </c>
      <c r="B2409">
        <v>80317</v>
      </c>
      <c r="C2409">
        <v>7</v>
      </c>
      <c r="D2409" s="7">
        <v>1</v>
      </c>
      <c r="E2409" s="7" t="s">
        <v>125</v>
      </c>
      <c r="F2409" s="7">
        <v>22.6</v>
      </c>
    </row>
    <row r="2410" spans="1:7" x14ac:dyDescent="0.2">
      <c r="A2410" t="s">
        <v>363</v>
      </c>
      <c r="B2410">
        <v>80317</v>
      </c>
      <c r="C2410">
        <v>8</v>
      </c>
      <c r="D2410" s="7">
        <v>1</v>
      </c>
      <c r="E2410" s="7" t="s">
        <v>125</v>
      </c>
      <c r="F2410" s="7" t="s">
        <v>115</v>
      </c>
    </row>
    <row r="2411" spans="1:7" x14ac:dyDescent="0.2">
      <c r="A2411" t="s">
        <v>363</v>
      </c>
      <c r="B2411">
        <v>80317</v>
      </c>
      <c r="C2411">
        <v>9</v>
      </c>
      <c r="D2411" s="7">
        <v>1</v>
      </c>
      <c r="E2411" s="7" t="s">
        <v>125</v>
      </c>
      <c r="F2411">
        <v>32</v>
      </c>
    </row>
    <row r="2412" spans="1:7" x14ac:dyDescent="0.2">
      <c r="A2412" t="s">
        <v>363</v>
      </c>
      <c r="B2412">
        <v>80317</v>
      </c>
      <c r="C2412">
        <v>10</v>
      </c>
      <c r="D2412" s="7">
        <v>1</v>
      </c>
      <c r="E2412" s="7" t="s">
        <v>125</v>
      </c>
      <c r="F2412">
        <v>5.6</v>
      </c>
    </row>
    <row r="2413" spans="1:7" x14ac:dyDescent="0.2">
      <c r="A2413" t="s">
        <v>363</v>
      </c>
      <c r="B2413">
        <v>80317</v>
      </c>
      <c r="C2413">
        <v>11</v>
      </c>
      <c r="D2413" s="7">
        <v>1</v>
      </c>
      <c r="E2413" s="7" t="s">
        <v>125</v>
      </c>
      <c r="F2413">
        <v>16</v>
      </c>
    </row>
    <row r="2414" spans="1:7" x14ac:dyDescent="0.2">
      <c r="A2414" t="s">
        <v>363</v>
      </c>
      <c r="B2414">
        <v>80317</v>
      </c>
      <c r="C2414">
        <v>12</v>
      </c>
      <c r="D2414" s="7">
        <v>1</v>
      </c>
      <c r="E2414" s="7" t="s">
        <v>125</v>
      </c>
      <c r="F2414">
        <v>64</v>
      </c>
    </row>
    <row r="2415" spans="1:7" x14ac:dyDescent="0.2">
      <c r="A2415" t="s">
        <v>363</v>
      </c>
      <c r="B2415">
        <v>80317</v>
      </c>
      <c r="C2415">
        <v>13</v>
      </c>
      <c r="D2415" s="7">
        <v>1</v>
      </c>
      <c r="E2415" s="7" t="s">
        <v>125</v>
      </c>
      <c r="F2415">
        <v>64</v>
      </c>
    </row>
    <row r="2416" spans="1:7" x14ac:dyDescent="0.2">
      <c r="A2416" t="s">
        <v>363</v>
      </c>
      <c r="B2416">
        <v>80317</v>
      </c>
      <c r="C2416">
        <v>14</v>
      </c>
      <c r="D2416" s="7">
        <v>1</v>
      </c>
      <c r="E2416" s="7" t="s">
        <v>125</v>
      </c>
      <c r="F2416">
        <v>45</v>
      </c>
    </row>
    <row r="2417" spans="1:6" x14ac:dyDescent="0.2">
      <c r="A2417" t="s">
        <v>363</v>
      </c>
      <c r="B2417">
        <v>80317</v>
      </c>
      <c r="C2417">
        <v>15</v>
      </c>
      <c r="D2417" s="7">
        <v>1</v>
      </c>
      <c r="E2417" s="7" t="s">
        <v>125</v>
      </c>
      <c r="F2417">
        <v>90</v>
      </c>
    </row>
    <row r="2418" spans="1:6" x14ac:dyDescent="0.2">
      <c r="A2418" t="s">
        <v>363</v>
      </c>
      <c r="B2418">
        <v>80317</v>
      </c>
      <c r="C2418">
        <v>16</v>
      </c>
      <c r="D2418" s="7">
        <v>1</v>
      </c>
      <c r="E2418" s="7" t="s">
        <v>125</v>
      </c>
      <c r="F2418" s="7" t="s">
        <v>115</v>
      </c>
    </row>
    <row r="2419" spans="1:6" x14ac:dyDescent="0.2">
      <c r="A2419" t="s">
        <v>363</v>
      </c>
      <c r="B2419">
        <v>80317</v>
      </c>
      <c r="C2419">
        <v>17</v>
      </c>
      <c r="D2419" s="7">
        <v>1</v>
      </c>
      <c r="E2419" s="7" t="s">
        <v>125</v>
      </c>
      <c r="F2419" s="7" t="s">
        <v>115</v>
      </c>
    </row>
    <row r="2420" spans="1:6" x14ac:dyDescent="0.2">
      <c r="A2420" t="s">
        <v>363</v>
      </c>
      <c r="B2420">
        <v>80317</v>
      </c>
      <c r="C2420">
        <v>18</v>
      </c>
      <c r="D2420" s="7">
        <v>1</v>
      </c>
      <c r="E2420" s="7" t="s">
        <v>125</v>
      </c>
      <c r="F2420" s="7">
        <v>90</v>
      </c>
    </row>
    <row r="2421" spans="1:6" x14ac:dyDescent="0.2">
      <c r="A2421" t="s">
        <v>363</v>
      </c>
      <c r="B2421">
        <v>80317</v>
      </c>
      <c r="C2421">
        <v>19</v>
      </c>
      <c r="D2421" s="7">
        <v>1</v>
      </c>
      <c r="E2421" s="7" t="s">
        <v>125</v>
      </c>
      <c r="F2421" s="7" t="s">
        <v>115</v>
      </c>
    </row>
    <row r="2422" spans="1:6" x14ac:dyDescent="0.2">
      <c r="A2422" t="s">
        <v>363</v>
      </c>
      <c r="B2422">
        <v>80317</v>
      </c>
      <c r="C2422">
        <v>20</v>
      </c>
      <c r="D2422" s="7">
        <v>1</v>
      </c>
      <c r="E2422" s="7" t="s">
        <v>125</v>
      </c>
      <c r="F2422">
        <v>16</v>
      </c>
    </row>
    <row r="2423" spans="1:6" x14ac:dyDescent="0.2">
      <c r="A2423" t="s">
        <v>363</v>
      </c>
      <c r="B2423">
        <v>80317</v>
      </c>
      <c r="C2423">
        <v>21</v>
      </c>
      <c r="D2423" s="7">
        <v>1</v>
      </c>
      <c r="E2423" s="7" t="s">
        <v>125</v>
      </c>
      <c r="F2423">
        <v>128</v>
      </c>
    </row>
    <row r="2424" spans="1:6" x14ac:dyDescent="0.2">
      <c r="A2424" t="s">
        <v>363</v>
      </c>
      <c r="B2424">
        <v>80317</v>
      </c>
      <c r="C2424">
        <v>22</v>
      </c>
      <c r="D2424" s="7">
        <v>1</v>
      </c>
      <c r="E2424" s="7" t="s">
        <v>125</v>
      </c>
      <c r="F2424">
        <v>45</v>
      </c>
    </row>
    <row r="2425" spans="1:6" x14ac:dyDescent="0.2">
      <c r="A2425" t="s">
        <v>363</v>
      </c>
      <c r="B2425">
        <v>80317</v>
      </c>
      <c r="C2425">
        <v>23</v>
      </c>
      <c r="D2425" s="7">
        <v>1</v>
      </c>
      <c r="E2425" s="7" t="s">
        <v>125</v>
      </c>
      <c r="F2425">
        <v>128</v>
      </c>
    </row>
    <row r="2426" spans="1:6" x14ac:dyDescent="0.2">
      <c r="A2426" t="s">
        <v>363</v>
      </c>
      <c r="B2426">
        <v>80317</v>
      </c>
      <c r="C2426">
        <v>24</v>
      </c>
      <c r="D2426" s="7">
        <v>1</v>
      </c>
      <c r="E2426" s="7" t="s">
        <v>125</v>
      </c>
      <c r="F2426">
        <v>16</v>
      </c>
    </row>
    <row r="2427" spans="1:6" x14ac:dyDescent="0.2">
      <c r="A2427" t="s">
        <v>363</v>
      </c>
      <c r="B2427">
        <v>80317</v>
      </c>
      <c r="C2427">
        <v>25</v>
      </c>
      <c r="D2427" s="7">
        <v>1</v>
      </c>
      <c r="E2427" s="7" t="s">
        <v>125</v>
      </c>
      <c r="F2427">
        <v>45</v>
      </c>
    </row>
    <row r="2428" spans="1:6" x14ac:dyDescent="0.2">
      <c r="A2428" t="s">
        <v>363</v>
      </c>
      <c r="B2428">
        <v>80317</v>
      </c>
      <c r="C2428">
        <v>26</v>
      </c>
      <c r="D2428" s="7">
        <v>1</v>
      </c>
      <c r="E2428" s="7" t="s">
        <v>125</v>
      </c>
      <c r="F2428">
        <v>32</v>
      </c>
    </row>
    <row r="2429" spans="1:6" x14ac:dyDescent="0.2">
      <c r="A2429" t="s">
        <v>363</v>
      </c>
      <c r="B2429">
        <v>80317</v>
      </c>
      <c r="C2429">
        <v>27</v>
      </c>
      <c r="D2429" s="7">
        <v>1</v>
      </c>
      <c r="E2429" s="7" t="s">
        <v>125</v>
      </c>
      <c r="F2429">
        <v>128</v>
      </c>
    </row>
    <row r="2430" spans="1:6" x14ac:dyDescent="0.2">
      <c r="A2430" t="s">
        <v>363</v>
      </c>
      <c r="B2430">
        <v>80317</v>
      </c>
      <c r="C2430">
        <v>28</v>
      </c>
      <c r="D2430" s="7">
        <v>1</v>
      </c>
      <c r="E2430" s="7" t="s">
        <v>125</v>
      </c>
      <c r="F2430">
        <v>5.6</v>
      </c>
    </row>
    <row r="2431" spans="1:6" x14ac:dyDescent="0.2">
      <c r="A2431" t="s">
        <v>363</v>
      </c>
      <c r="B2431">
        <v>80317</v>
      </c>
      <c r="C2431">
        <v>29</v>
      </c>
      <c r="D2431" s="7">
        <v>1</v>
      </c>
      <c r="E2431" s="7" t="s">
        <v>125</v>
      </c>
      <c r="F2431">
        <v>8</v>
      </c>
    </row>
    <row r="2432" spans="1:6" x14ac:dyDescent="0.2">
      <c r="A2432" t="s">
        <v>363</v>
      </c>
      <c r="B2432">
        <v>80317</v>
      </c>
      <c r="C2432">
        <v>30</v>
      </c>
      <c r="D2432" s="7">
        <v>1</v>
      </c>
      <c r="E2432" s="7" t="s">
        <v>125</v>
      </c>
      <c r="F2432" s="7" t="s">
        <v>115</v>
      </c>
    </row>
    <row r="2433" spans="1:6" x14ac:dyDescent="0.2">
      <c r="A2433" t="s">
        <v>363</v>
      </c>
      <c r="B2433">
        <v>80317</v>
      </c>
      <c r="C2433">
        <v>31</v>
      </c>
      <c r="D2433" s="7">
        <v>1</v>
      </c>
      <c r="E2433" s="7" t="s">
        <v>125</v>
      </c>
      <c r="F2433" s="7">
        <v>64</v>
      </c>
    </row>
    <row r="2434" spans="1:6" x14ac:dyDescent="0.2">
      <c r="A2434" t="s">
        <v>363</v>
      </c>
      <c r="B2434">
        <v>80317</v>
      </c>
      <c r="C2434">
        <v>32</v>
      </c>
      <c r="D2434" s="7">
        <v>1</v>
      </c>
      <c r="E2434" s="7" t="s">
        <v>125</v>
      </c>
      <c r="F2434" s="7">
        <v>90</v>
      </c>
    </row>
    <row r="2435" spans="1:6" x14ac:dyDescent="0.2">
      <c r="A2435" t="s">
        <v>363</v>
      </c>
      <c r="B2435">
        <v>80317</v>
      </c>
      <c r="C2435">
        <v>33</v>
      </c>
      <c r="D2435" s="7">
        <v>1</v>
      </c>
      <c r="E2435" s="7" t="s">
        <v>130</v>
      </c>
      <c r="F2435" s="7">
        <v>128</v>
      </c>
    </row>
    <row r="2436" spans="1:6" x14ac:dyDescent="0.2">
      <c r="A2436" t="s">
        <v>363</v>
      </c>
      <c r="B2436">
        <v>80317</v>
      </c>
      <c r="C2436">
        <v>34</v>
      </c>
      <c r="D2436" s="7">
        <v>1</v>
      </c>
      <c r="E2436" s="7" t="s">
        <v>127</v>
      </c>
      <c r="F2436" s="7">
        <v>22.6</v>
      </c>
    </row>
    <row r="2437" spans="1:6" x14ac:dyDescent="0.2">
      <c r="A2437" t="s">
        <v>363</v>
      </c>
      <c r="B2437">
        <v>80317</v>
      </c>
      <c r="C2437">
        <v>35</v>
      </c>
      <c r="D2437" s="7">
        <v>1</v>
      </c>
      <c r="E2437" s="7" t="s">
        <v>127</v>
      </c>
      <c r="F2437" s="7">
        <v>90</v>
      </c>
    </row>
    <row r="2438" spans="1:6" x14ac:dyDescent="0.2">
      <c r="A2438" t="s">
        <v>363</v>
      </c>
      <c r="B2438">
        <v>80317</v>
      </c>
      <c r="C2438">
        <v>36</v>
      </c>
      <c r="D2438" s="7">
        <v>1</v>
      </c>
      <c r="E2438" s="7" t="s">
        <v>127</v>
      </c>
      <c r="F2438" s="7">
        <v>45</v>
      </c>
    </row>
    <row r="2439" spans="1:6" x14ac:dyDescent="0.2">
      <c r="A2439" t="s">
        <v>363</v>
      </c>
      <c r="B2439">
        <v>80317</v>
      </c>
      <c r="C2439">
        <v>37</v>
      </c>
      <c r="D2439" s="7">
        <v>1</v>
      </c>
      <c r="E2439" s="7" t="s">
        <v>127</v>
      </c>
      <c r="F2439" s="7">
        <v>45</v>
      </c>
    </row>
    <row r="2440" spans="1:6" x14ac:dyDescent="0.2">
      <c r="A2440" t="s">
        <v>363</v>
      </c>
      <c r="B2440">
        <v>80317</v>
      </c>
      <c r="C2440">
        <v>38</v>
      </c>
      <c r="D2440" s="7">
        <v>1</v>
      </c>
      <c r="E2440" s="7" t="s">
        <v>127</v>
      </c>
      <c r="F2440" s="7">
        <v>180</v>
      </c>
    </row>
    <row r="2441" spans="1:6" x14ac:dyDescent="0.2">
      <c r="A2441" t="s">
        <v>363</v>
      </c>
      <c r="B2441">
        <v>80317</v>
      </c>
      <c r="C2441">
        <v>39</v>
      </c>
      <c r="D2441" s="7">
        <v>1</v>
      </c>
      <c r="E2441" s="7" t="s">
        <v>127</v>
      </c>
      <c r="F2441" s="7">
        <v>45</v>
      </c>
    </row>
    <row r="2442" spans="1:6" x14ac:dyDescent="0.2">
      <c r="A2442" t="s">
        <v>363</v>
      </c>
      <c r="B2442">
        <v>80317</v>
      </c>
      <c r="C2442">
        <v>40</v>
      </c>
      <c r="D2442" s="7">
        <v>1</v>
      </c>
      <c r="E2442" s="7" t="s">
        <v>127</v>
      </c>
      <c r="F2442" s="7">
        <v>45</v>
      </c>
    </row>
    <row r="2443" spans="1:6" x14ac:dyDescent="0.2">
      <c r="A2443" t="s">
        <v>363</v>
      </c>
      <c r="B2443">
        <v>80317</v>
      </c>
      <c r="C2443">
        <v>41</v>
      </c>
      <c r="D2443" s="7">
        <v>1</v>
      </c>
      <c r="E2443" s="7" t="s">
        <v>127</v>
      </c>
      <c r="F2443" s="7">
        <v>32</v>
      </c>
    </row>
    <row r="2444" spans="1:6" x14ac:dyDescent="0.2">
      <c r="A2444" t="s">
        <v>363</v>
      </c>
      <c r="B2444">
        <v>80317</v>
      </c>
      <c r="C2444">
        <v>42</v>
      </c>
      <c r="D2444" s="7">
        <v>1</v>
      </c>
      <c r="E2444" s="7" t="s">
        <v>127</v>
      </c>
      <c r="F2444" s="7">
        <v>45</v>
      </c>
    </row>
    <row r="2445" spans="1:6" x14ac:dyDescent="0.2">
      <c r="A2445" t="s">
        <v>363</v>
      </c>
      <c r="B2445">
        <v>80317</v>
      </c>
      <c r="C2445">
        <v>43</v>
      </c>
      <c r="D2445" s="7">
        <v>1</v>
      </c>
      <c r="E2445" s="7" t="s">
        <v>127</v>
      </c>
      <c r="F2445" s="7">
        <v>32</v>
      </c>
    </row>
    <row r="2446" spans="1:6" x14ac:dyDescent="0.2">
      <c r="A2446" t="s">
        <v>363</v>
      </c>
      <c r="B2446">
        <v>80317</v>
      </c>
      <c r="C2446">
        <v>44</v>
      </c>
      <c r="D2446" s="7">
        <v>1</v>
      </c>
      <c r="E2446" s="7" t="s">
        <v>127</v>
      </c>
      <c r="F2446" s="7">
        <v>45</v>
      </c>
    </row>
    <row r="2447" spans="1:6" x14ac:dyDescent="0.2">
      <c r="A2447" t="s">
        <v>363</v>
      </c>
      <c r="B2447">
        <v>80317</v>
      </c>
      <c r="C2447">
        <v>45</v>
      </c>
      <c r="D2447" s="7">
        <v>1</v>
      </c>
      <c r="E2447" s="7" t="s">
        <v>127</v>
      </c>
      <c r="F2447" s="7">
        <v>45</v>
      </c>
    </row>
    <row r="2448" spans="1:6" x14ac:dyDescent="0.2">
      <c r="A2448" t="s">
        <v>363</v>
      </c>
      <c r="B2448">
        <v>80317</v>
      </c>
      <c r="C2448">
        <v>46</v>
      </c>
      <c r="D2448" s="7">
        <v>1</v>
      </c>
      <c r="E2448" s="7" t="s">
        <v>127</v>
      </c>
      <c r="F2448" s="7">
        <v>45</v>
      </c>
    </row>
    <row r="2449" spans="1:6" x14ac:dyDescent="0.2">
      <c r="A2449" t="s">
        <v>363</v>
      </c>
      <c r="B2449">
        <v>80317</v>
      </c>
      <c r="C2449">
        <v>47</v>
      </c>
      <c r="D2449" s="7">
        <v>2</v>
      </c>
      <c r="E2449" s="7" t="s">
        <v>127</v>
      </c>
      <c r="F2449" s="7">
        <v>32</v>
      </c>
    </row>
    <row r="2450" spans="1:6" x14ac:dyDescent="0.2">
      <c r="A2450" t="s">
        <v>363</v>
      </c>
      <c r="B2450">
        <v>80317</v>
      </c>
      <c r="C2450">
        <v>48</v>
      </c>
      <c r="D2450" s="7">
        <v>2</v>
      </c>
      <c r="E2450" s="7" t="s">
        <v>127</v>
      </c>
      <c r="F2450" s="7">
        <v>128</v>
      </c>
    </row>
    <row r="2451" spans="1:6" x14ac:dyDescent="0.2">
      <c r="A2451" t="s">
        <v>363</v>
      </c>
      <c r="B2451">
        <v>80317</v>
      </c>
      <c r="C2451">
        <v>49</v>
      </c>
      <c r="D2451" s="7">
        <v>2</v>
      </c>
      <c r="E2451" s="7" t="s">
        <v>127</v>
      </c>
      <c r="F2451" s="7">
        <v>180</v>
      </c>
    </row>
    <row r="2452" spans="1:6" x14ac:dyDescent="0.2">
      <c r="A2452" t="s">
        <v>363</v>
      </c>
      <c r="B2452">
        <v>80317</v>
      </c>
      <c r="C2452">
        <v>50</v>
      </c>
      <c r="D2452" s="7">
        <v>2</v>
      </c>
      <c r="E2452" s="7" t="s">
        <v>127</v>
      </c>
      <c r="F2452" s="7">
        <v>22.6</v>
      </c>
    </row>
    <row r="2453" spans="1:6" x14ac:dyDescent="0.2">
      <c r="A2453" t="s">
        <v>363</v>
      </c>
      <c r="B2453">
        <v>80317</v>
      </c>
      <c r="C2453">
        <v>51</v>
      </c>
      <c r="D2453" s="7">
        <v>2</v>
      </c>
      <c r="E2453" s="7" t="s">
        <v>127</v>
      </c>
      <c r="F2453" s="7">
        <v>180</v>
      </c>
    </row>
    <row r="2454" spans="1:6" x14ac:dyDescent="0.2">
      <c r="A2454" t="s">
        <v>363</v>
      </c>
      <c r="B2454">
        <v>80317</v>
      </c>
      <c r="C2454">
        <v>52</v>
      </c>
      <c r="D2454" s="7">
        <v>2</v>
      </c>
      <c r="E2454" s="7" t="s">
        <v>127</v>
      </c>
      <c r="F2454" s="7">
        <v>45</v>
      </c>
    </row>
    <row r="2455" spans="1:6" x14ac:dyDescent="0.2">
      <c r="A2455" t="s">
        <v>363</v>
      </c>
      <c r="B2455">
        <v>80317</v>
      </c>
      <c r="C2455">
        <v>53</v>
      </c>
      <c r="D2455" s="7">
        <v>2</v>
      </c>
      <c r="E2455" s="7" t="s">
        <v>127</v>
      </c>
      <c r="F2455" s="7">
        <v>4</v>
      </c>
    </row>
    <row r="2456" spans="1:6" x14ac:dyDescent="0.2">
      <c r="A2456" t="s">
        <v>363</v>
      </c>
      <c r="B2456">
        <v>80317</v>
      </c>
      <c r="C2456">
        <v>54</v>
      </c>
      <c r="D2456" s="7">
        <v>2</v>
      </c>
      <c r="E2456" s="7" t="s">
        <v>127</v>
      </c>
      <c r="F2456" s="7">
        <v>22.6</v>
      </c>
    </row>
    <row r="2457" spans="1:6" x14ac:dyDescent="0.2">
      <c r="A2457" t="s">
        <v>363</v>
      </c>
      <c r="B2457">
        <v>80317</v>
      </c>
      <c r="C2457">
        <v>55</v>
      </c>
      <c r="D2457" s="7">
        <v>2</v>
      </c>
      <c r="E2457" s="7" t="s">
        <v>127</v>
      </c>
      <c r="F2457" s="7">
        <v>32</v>
      </c>
    </row>
    <row r="2458" spans="1:6" x14ac:dyDescent="0.2">
      <c r="A2458" t="s">
        <v>363</v>
      </c>
      <c r="B2458">
        <v>80317</v>
      </c>
      <c r="C2458">
        <v>56</v>
      </c>
      <c r="D2458" s="7">
        <v>2</v>
      </c>
      <c r="E2458" s="7" t="s">
        <v>130</v>
      </c>
      <c r="F2458" s="7">
        <v>45</v>
      </c>
    </row>
    <row r="2459" spans="1:6" x14ac:dyDescent="0.2">
      <c r="A2459" t="s">
        <v>363</v>
      </c>
      <c r="B2459">
        <v>80317</v>
      </c>
      <c r="C2459">
        <v>57</v>
      </c>
      <c r="D2459" s="7">
        <v>2</v>
      </c>
      <c r="E2459" s="7" t="s">
        <v>130</v>
      </c>
      <c r="F2459" s="7">
        <v>2.8</v>
      </c>
    </row>
    <row r="2460" spans="1:6" x14ac:dyDescent="0.2">
      <c r="A2460" t="s">
        <v>363</v>
      </c>
      <c r="B2460">
        <v>80317</v>
      </c>
      <c r="C2460">
        <v>58</v>
      </c>
      <c r="D2460" s="7">
        <v>2</v>
      </c>
      <c r="E2460" s="7" t="s">
        <v>130</v>
      </c>
      <c r="F2460" s="7">
        <v>32</v>
      </c>
    </row>
    <row r="2461" spans="1:6" x14ac:dyDescent="0.2">
      <c r="A2461" t="s">
        <v>363</v>
      </c>
      <c r="B2461">
        <v>80317</v>
      </c>
      <c r="C2461">
        <v>59</v>
      </c>
      <c r="D2461" s="7">
        <v>2</v>
      </c>
      <c r="E2461" s="7" t="s">
        <v>127</v>
      </c>
      <c r="F2461" s="7">
        <v>45</v>
      </c>
    </row>
    <row r="2462" spans="1:6" x14ac:dyDescent="0.2">
      <c r="A2462" t="s">
        <v>363</v>
      </c>
      <c r="B2462">
        <v>80317</v>
      </c>
      <c r="C2462">
        <v>60</v>
      </c>
      <c r="D2462" s="7">
        <v>2</v>
      </c>
      <c r="E2462" s="7" t="s">
        <v>125</v>
      </c>
      <c r="F2462" s="7">
        <v>45</v>
      </c>
    </row>
    <row r="2463" spans="1:6" x14ac:dyDescent="0.2">
      <c r="A2463" t="s">
        <v>363</v>
      </c>
      <c r="B2463">
        <v>80317</v>
      </c>
      <c r="C2463">
        <v>61</v>
      </c>
      <c r="D2463" s="7">
        <v>2</v>
      </c>
      <c r="E2463" s="7" t="s">
        <v>125</v>
      </c>
      <c r="F2463" s="7">
        <v>64</v>
      </c>
    </row>
    <row r="2464" spans="1:6" x14ac:dyDescent="0.2">
      <c r="A2464" t="s">
        <v>363</v>
      </c>
      <c r="B2464">
        <v>80317</v>
      </c>
      <c r="C2464">
        <v>62</v>
      </c>
      <c r="D2464" s="7">
        <v>2</v>
      </c>
      <c r="E2464" s="7" t="s">
        <v>125</v>
      </c>
      <c r="F2464" s="7">
        <v>45</v>
      </c>
    </row>
    <row r="2465" spans="1:6" x14ac:dyDescent="0.2">
      <c r="A2465" t="s">
        <v>363</v>
      </c>
      <c r="B2465">
        <v>80317</v>
      </c>
      <c r="C2465">
        <v>63</v>
      </c>
      <c r="D2465" s="7">
        <v>2</v>
      </c>
      <c r="E2465" s="7" t="s">
        <v>125</v>
      </c>
      <c r="F2465" s="7">
        <v>90</v>
      </c>
    </row>
    <row r="2466" spans="1:6" x14ac:dyDescent="0.2">
      <c r="A2466" t="s">
        <v>363</v>
      </c>
      <c r="B2466">
        <v>80317</v>
      </c>
      <c r="C2466">
        <v>64</v>
      </c>
      <c r="D2466" s="7">
        <v>2</v>
      </c>
      <c r="E2466" s="7" t="s">
        <v>125</v>
      </c>
      <c r="F2466" s="7">
        <v>64</v>
      </c>
    </row>
    <row r="2467" spans="1:6" x14ac:dyDescent="0.2">
      <c r="A2467" t="s">
        <v>363</v>
      </c>
      <c r="B2467">
        <v>80317</v>
      </c>
      <c r="C2467">
        <v>65</v>
      </c>
      <c r="D2467" s="7">
        <v>2</v>
      </c>
      <c r="E2467" s="7" t="s">
        <v>125</v>
      </c>
      <c r="F2467" s="7">
        <v>32</v>
      </c>
    </row>
    <row r="2468" spans="1:6" x14ac:dyDescent="0.2">
      <c r="A2468" t="s">
        <v>363</v>
      </c>
      <c r="B2468">
        <v>80317</v>
      </c>
      <c r="C2468">
        <v>66</v>
      </c>
      <c r="D2468" s="7">
        <v>2</v>
      </c>
      <c r="E2468" s="7" t="s">
        <v>125</v>
      </c>
      <c r="F2468" s="7">
        <v>16</v>
      </c>
    </row>
    <row r="2469" spans="1:6" x14ac:dyDescent="0.2">
      <c r="A2469" t="s">
        <v>363</v>
      </c>
      <c r="B2469">
        <v>80317</v>
      </c>
      <c r="C2469">
        <v>67</v>
      </c>
      <c r="D2469" s="7">
        <v>2</v>
      </c>
      <c r="E2469" s="7" t="s">
        <v>125</v>
      </c>
      <c r="F2469" s="7">
        <v>11</v>
      </c>
    </row>
    <row r="2470" spans="1:6" x14ac:dyDescent="0.2">
      <c r="A2470" t="s">
        <v>363</v>
      </c>
      <c r="B2470">
        <v>80317</v>
      </c>
      <c r="C2470">
        <v>68</v>
      </c>
      <c r="D2470" s="7">
        <v>2</v>
      </c>
      <c r="E2470" s="7" t="s">
        <v>125</v>
      </c>
      <c r="F2470" s="7">
        <v>5.6</v>
      </c>
    </row>
    <row r="2471" spans="1:6" x14ac:dyDescent="0.2">
      <c r="A2471" t="s">
        <v>363</v>
      </c>
      <c r="B2471">
        <v>80317</v>
      </c>
      <c r="C2471">
        <v>69</v>
      </c>
      <c r="D2471" s="7">
        <v>2</v>
      </c>
      <c r="E2471" s="7" t="s">
        <v>125</v>
      </c>
      <c r="F2471" s="7">
        <v>11</v>
      </c>
    </row>
    <row r="2472" spans="1:6" x14ac:dyDescent="0.2">
      <c r="A2472" t="s">
        <v>363</v>
      </c>
      <c r="B2472">
        <v>80317</v>
      </c>
      <c r="C2472">
        <v>70</v>
      </c>
      <c r="D2472" s="7">
        <v>2</v>
      </c>
      <c r="E2472" s="7" t="s">
        <v>125</v>
      </c>
      <c r="F2472" s="7" t="s">
        <v>115</v>
      </c>
    </row>
    <row r="2473" spans="1:6" x14ac:dyDescent="0.2">
      <c r="A2473" t="s">
        <v>363</v>
      </c>
      <c r="B2473">
        <v>80317</v>
      </c>
      <c r="C2473">
        <v>71</v>
      </c>
      <c r="D2473" s="7">
        <v>2</v>
      </c>
      <c r="E2473" s="7" t="s">
        <v>125</v>
      </c>
      <c r="F2473" s="7" t="s">
        <v>115</v>
      </c>
    </row>
    <row r="2474" spans="1:6" x14ac:dyDescent="0.2">
      <c r="A2474" t="s">
        <v>363</v>
      </c>
      <c r="B2474">
        <v>80317</v>
      </c>
      <c r="C2474">
        <v>72</v>
      </c>
      <c r="D2474" s="7">
        <v>2</v>
      </c>
      <c r="E2474" s="7" t="s">
        <v>125</v>
      </c>
      <c r="F2474" s="7">
        <v>5.6</v>
      </c>
    </row>
    <row r="2475" spans="1:6" x14ac:dyDescent="0.2">
      <c r="A2475" t="s">
        <v>363</v>
      </c>
      <c r="B2475">
        <v>80317</v>
      </c>
      <c r="C2475">
        <v>73</v>
      </c>
      <c r="D2475" s="7">
        <v>2</v>
      </c>
      <c r="E2475" s="7" t="s">
        <v>125</v>
      </c>
      <c r="F2475" s="7">
        <v>4</v>
      </c>
    </row>
    <row r="2476" spans="1:6" x14ac:dyDescent="0.2">
      <c r="A2476" t="s">
        <v>363</v>
      </c>
      <c r="B2476">
        <v>80317</v>
      </c>
      <c r="C2476">
        <v>74</v>
      </c>
      <c r="D2476" s="7">
        <v>2</v>
      </c>
      <c r="E2476" s="7" t="s">
        <v>125</v>
      </c>
      <c r="F2476" s="7" t="s">
        <v>115</v>
      </c>
    </row>
    <row r="2477" spans="1:6" x14ac:dyDescent="0.2">
      <c r="A2477" t="s">
        <v>363</v>
      </c>
      <c r="B2477">
        <v>80317</v>
      </c>
      <c r="C2477">
        <v>75</v>
      </c>
      <c r="D2477" s="7">
        <v>2</v>
      </c>
      <c r="E2477" s="7" t="s">
        <v>125</v>
      </c>
      <c r="F2477">
        <v>180</v>
      </c>
    </row>
    <row r="2478" spans="1:6" x14ac:dyDescent="0.2">
      <c r="A2478" t="s">
        <v>363</v>
      </c>
      <c r="B2478">
        <v>80317</v>
      </c>
      <c r="C2478">
        <v>76</v>
      </c>
      <c r="D2478" s="7">
        <v>2</v>
      </c>
      <c r="E2478" s="7" t="s">
        <v>125</v>
      </c>
      <c r="F2478" s="7" t="s">
        <v>115</v>
      </c>
    </row>
    <row r="2479" spans="1:6" x14ac:dyDescent="0.2">
      <c r="A2479" t="s">
        <v>363</v>
      </c>
      <c r="B2479">
        <v>80317</v>
      </c>
      <c r="C2479">
        <v>77</v>
      </c>
      <c r="D2479" s="7">
        <v>2</v>
      </c>
      <c r="E2479" s="7" t="s">
        <v>125</v>
      </c>
      <c r="F2479" s="7" t="s">
        <v>115</v>
      </c>
    </row>
    <row r="2480" spans="1:6" x14ac:dyDescent="0.2">
      <c r="A2480" t="s">
        <v>363</v>
      </c>
      <c r="B2480">
        <v>80317</v>
      </c>
      <c r="C2480">
        <v>78</v>
      </c>
      <c r="D2480" s="7">
        <v>2</v>
      </c>
      <c r="E2480" s="7" t="s">
        <v>125</v>
      </c>
      <c r="F2480">
        <v>180</v>
      </c>
    </row>
    <row r="2481" spans="1:6" x14ac:dyDescent="0.2">
      <c r="A2481" t="s">
        <v>363</v>
      </c>
      <c r="B2481">
        <v>80317</v>
      </c>
      <c r="C2481">
        <v>79</v>
      </c>
      <c r="D2481" s="7">
        <v>2</v>
      </c>
      <c r="E2481" s="7" t="s">
        <v>125</v>
      </c>
      <c r="F2481">
        <v>180</v>
      </c>
    </row>
    <row r="2482" spans="1:6" x14ac:dyDescent="0.2">
      <c r="A2482" t="s">
        <v>363</v>
      </c>
      <c r="B2482">
        <v>80317</v>
      </c>
      <c r="C2482">
        <v>80</v>
      </c>
      <c r="D2482" s="7">
        <v>2</v>
      </c>
      <c r="E2482" s="7" t="s">
        <v>125</v>
      </c>
      <c r="F2482">
        <v>180</v>
      </c>
    </row>
    <row r="2483" spans="1:6" x14ac:dyDescent="0.2">
      <c r="A2483" t="s">
        <v>363</v>
      </c>
      <c r="B2483">
        <v>80317</v>
      </c>
      <c r="C2483">
        <v>81</v>
      </c>
      <c r="D2483" s="7">
        <v>2</v>
      </c>
      <c r="E2483" s="7" t="s">
        <v>125</v>
      </c>
      <c r="F2483">
        <v>180</v>
      </c>
    </row>
    <row r="2484" spans="1:6" x14ac:dyDescent="0.2">
      <c r="A2484" t="s">
        <v>363</v>
      </c>
      <c r="B2484">
        <v>80317</v>
      </c>
      <c r="C2484">
        <v>82</v>
      </c>
      <c r="D2484" s="7">
        <v>2</v>
      </c>
      <c r="E2484" s="7" t="s">
        <v>125</v>
      </c>
      <c r="F2484">
        <v>45</v>
      </c>
    </row>
    <row r="2485" spans="1:6" x14ac:dyDescent="0.2">
      <c r="A2485" t="s">
        <v>363</v>
      </c>
      <c r="B2485">
        <v>80317</v>
      </c>
      <c r="C2485">
        <v>83</v>
      </c>
      <c r="D2485" s="7">
        <v>2</v>
      </c>
      <c r="E2485" s="7" t="s">
        <v>125</v>
      </c>
      <c r="F2485" s="7" t="s">
        <v>115</v>
      </c>
    </row>
    <row r="2486" spans="1:6" x14ac:dyDescent="0.2">
      <c r="A2486" t="s">
        <v>363</v>
      </c>
      <c r="B2486">
        <v>80317</v>
      </c>
      <c r="C2486">
        <v>84</v>
      </c>
      <c r="D2486" s="7">
        <v>2</v>
      </c>
      <c r="E2486" s="7" t="s">
        <v>125</v>
      </c>
      <c r="F2486" s="7">
        <v>5.6</v>
      </c>
    </row>
    <row r="2487" spans="1:6" x14ac:dyDescent="0.2">
      <c r="A2487" t="s">
        <v>363</v>
      </c>
      <c r="B2487">
        <v>80317</v>
      </c>
      <c r="C2487">
        <v>85</v>
      </c>
      <c r="D2487" s="7">
        <v>2</v>
      </c>
      <c r="E2487" s="7" t="s">
        <v>125</v>
      </c>
      <c r="F2487" s="7">
        <v>64</v>
      </c>
    </row>
    <row r="2488" spans="1:6" x14ac:dyDescent="0.2">
      <c r="A2488" t="s">
        <v>363</v>
      </c>
      <c r="B2488">
        <v>80317</v>
      </c>
      <c r="C2488">
        <v>86</v>
      </c>
      <c r="D2488" s="7">
        <v>2</v>
      </c>
      <c r="E2488" s="7" t="s">
        <v>125</v>
      </c>
      <c r="F2488" s="7" t="s">
        <v>115</v>
      </c>
    </row>
    <row r="2489" spans="1:6" x14ac:dyDescent="0.2">
      <c r="A2489" t="s">
        <v>363</v>
      </c>
      <c r="B2489">
        <v>80317</v>
      </c>
      <c r="C2489">
        <v>87</v>
      </c>
      <c r="D2489" s="7">
        <v>2</v>
      </c>
      <c r="E2489" s="7" t="s">
        <v>125</v>
      </c>
      <c r="F2489" s="7" t="s">
        <v>115</v>
      </c>
    </row>
    <row r="2490" spans="1:6" x14ac:dyDescent="0.2">
      <c r="A2490" t="s">
        <v>363</v>
      </c>
      <c r="B2490">
        <v>80317</v>
      </c>
      <c r="C2490">
        <v>88</v>
      </c>
      <c r="D2490" s="7">
        <v>2</v>
      </c>
      <c r="E2490" s="7" t="s">
        <v>125</v>
      </c>
      <c r="F2490">
        <v>180</v>
      </c>
    </row>
    <row r="2491" spans="1:6" x14ac:dyDescent="0.2">
      <c r="A2491" t="s">
        <v>363</v>
      </c>
      <c r="B2491">
        <v>80317</v>
      </c>
      <c r="C2491">
        <v>89</v>
      </c>
      <c r="D2491" s="7">
        <v>2</v>
      </c>
      <c r="E2491" s="7" t="s">
        <v>125</v>
      </c>
      <c r="F2491">
        <v>90</v>
      </c>
    </row>
    <row r="2492" spans="1:6" x14ac:dyDescent="0.2">
      <c r="A2492" t="s">
        <v>363</v>
      </c>
      <c r="B2492">
        <v>80317</v>
      </c>
      <c r="C2492">
        <v>90</v>
      </c>
      <c r="D2492" s="7">
        <v>2</v>
      </c>
      <c r="E2492" s="7" t="s">
        <v>125</v>
      </c>
      <c r="F2492">
        <v>180</v>
      </c>
    </row>
    <row r="2493" spans="1:6" x14ac:dyDescent="0.2">
      <c r="A2493" t="s">
        <v>363</v>
      </c>
      <c r="B2493">
        <v>80317</v>
      </c>
      <c r="C2493">
        <v>91</v>
      </c>
      <c r="D2493">
        <v>3</v>
      </c>
      <c r="E2493" s="7" t="s">
        <v>125</v>
      </c>
      <c r="F2493">
        <v>180</v>
      </c>
    </row>
    <row r="2494" spans="1:6" x14ac:dyDescent="0.2">
      <c r="A2494" t="s">
        <v>363</v>
      </c>
      <c r="B2494">
        <v>80317</v>
      </c>
      <c r="C2494">
        <v>92</v>
      </c>
      <c r="D2494">
        <v>3</v>
      </c>
      <c r="E2494" s="7" t="s">
        <v>125</v>
      </c>
      <c r="F2494">
        <v>64</v>
      </c>
    </row>
    <row r="2495" spans="1:6" x14ac:dyDescent="0.2">
      <c r="A2495" t="s">
        <v>363</v>
      </c>
      <c r="B2495">
        <v>80317</v>
      </c>
      <c r="C2495">
        <v>93</v>
      </c>
      <c r="D2495">
        <v>3</v>
      </c>
      <c r="E2495" s="7" t="s">
        <v>125</v>
      </c>
      <c r="F2495">
        <v>90</v>
      </c>
    </row>
    <row r="2496" spans="1:6" x14ac:dyDescent="0.2">
      <c r="A2496" t="s">
        <v>363</v>
      </c>
      <c r="B2496">
        <v>80317</v>
      </c>
      <c r="C2496">
        <v>94</v>
      </c>
      <c r="D2496">
        <v>3</v>
      </c>
      <c r="E2496" s="7" t="s">
        <v>125</v>
      </c>
      <c r="F2496" s="7" t="s">
        <v>115</v>
      </c>
    </row>
    <row r="2497" spans="1:6" x14ac:dyDescent="0.2">
      <c r="A2497" t="s">
        <v>363</v>
      </c>
      <c r="B2497">
        <v>80317</v>
      </c>
      <c r="C2497">
        <v>95</v>
      </c>
      <c r="D2497">
        <v>3</v>
      </c>
      <c r="E2497" s="7" t="s">
        <v>125</v>
      </c>
      <c r="F2497" s="7">
        <v>32</v>
      </c>
    </row>
    <row r="2498" spans="1:6" x14ac:dyDescent="0.2">
      <c r="A2498" t="s">
        <v>363</v>
      </c>
      <c r="B2498">
        <v>80317</v>
      </c>
      <c r="C2498">
        <v>96</v>
      </c>
      <c r="D2498">
        <v>3</v>
      </c>
      <c r="E2498" s="7" t="s">
        <v>125</v>
      </c>
      <c r="F2498" s="7" t="s">
        <v>115</v>
      </c>
    </row>
    <row r="2499" spans="1:6" x14ac:dyDescent="0.2">
      <c r="A2499" t="s">
        <v>363</v>
      </c>
      <c r="B2499">
        <v>80317</v>
      </c>
      <c r="C2499">
        <v>97</v>
      </c>
      <c r="D2499">
        <v>3</v>
      </c>
      <c r="E2499" s="7" t="s">
        <v>125</v>
      </c>
      <c r="F2499" s="7">
        <v>11</v>
      </c>
    </row>
    <row r="2500" spans="1:6" x14ac:dyDescent="0.2">
      <c r="A2500" t="s">
        <v>363</v>
      </c>
      <c r="B2500">
        <v>80317</v>
      </c>
      <c r="C2500">
        <v>98</v>
      </c>
      <c r="D2500">
        <v>3</v>
      </c>
      <c r="E2500" s="7" t="s">
        <v>125</v>
      </c>
      <c r="F2500" s="7" t="s">
        <v>115</v>
      </c>
    </row>
    <row r="2501" spans="1:6" x14ac:dyDescent="0.2">
      <c r="A2501" t="s">
        <v>363</v>
      </c>
      <c r="B2501">
        <v>80317</v>
      </c>
      <c r="C2501">
        <v>99</v>
      </c>
      <c r="D2501">
        <v>3</v>
      </c>
      <c r="E2501" s="7" t="s">
        <v>125</v>
      </c>
      <c r="F2501">
        <v>32</v>
      </c>
    </row>
    <row r="2502" spans="1:6" x14ac:dyDescent="0.2">
      <c r="A2502" t="s">
        <v>363</v>
      </c>
      <c r="B2502">
        <v>80317</v>
      </c>
      <c r="C2502">
        <v>100</v>
      </c>
      <c r="D2502">
        <v>3</v>
      </c>
      <c r="E2502" s="7" t="s">
        <v>125</v>
      </c>
      <c r="F2502" s="7" t="s">
        <v>115</v>
      </c>
    </row>
    <row r="2503" spans="1:6" x14ac:dyDescent="0.2">
      <c r="A2503" s="7" t="s">
        <v>281</v>
      </c>
      <c r="B2503">
        <v>80117</v>
      </c>
      <c r="C2503">
        <v>1</v>
      </c>
      <c r="D2503">
        <v>1</v>
      </c>
      <c r="E2503" s="7" t="s">
        <v>133</v>
      </c>
      <c r="F2503" s="7">
        <v>128</v>
      </c>
    </row>
    <row r="2504" spans="1:6" x14ac:dyDescent="0.2">
      <c r="A2504" s="7" t="s">
        <v>281</v>
      </c>
      <c r="B2504">
        <v>80117</v>
      </c>
      <c r="C2504">
        <v>2</v>
      </c>
      <c r="D2504">
        <v>1</v>
      </c>
      <c r="E2504" s="7" t="s">
        <v>133</v>
      </c>
      <c r="F2504" s="7">
        <v>180</v>
      </c>
    </row>
    <row r="2505" spans="1:6" x14ac:dyDescent="0.2">
      <c r="A2505" s="7" t="s">
        <v>281</v>
      </c>
      <c r="B2505">
        <v>80117</v>
      </c>
      <c r="C2505">
        <v>3</v>
      </c>
      <c r="D2505">
        <v>1</v>
      </c>
      <c r="E2505" s="7" t="s">
        <v>112</v>
      </c>
      <c r="F2505" s="7">
        <v>180</v>
      </c>
    </row>
    <row r="2506" spans="1:6" x14ac:dyDescent="0.2">
      <c r="A2506" s="7" t="s">
        <v>281</v>
      </c>
      <c r="B2506">
        <v>80117</v>
      </c>
      <c r="C2506">
        <v>4</v>
      </c>
      <c r="D2506">
        <v>1</v>
      </c>
      <c r="E2506" s="7" t="s">
        <v>112</v>
      </c>
      <c r="F2506" s="7">
        <v>90</v>
      </c>
    </row>
    <row r="2507" spans="1:6" x14ac:dyDescent="0.2">
      <c r="A2507" s="7" t="s">
        <v>281</v>
      </c>
      <c r="B2507">
        <v>80117</v>
      </c>
      <c r="C2507">
        <v>5</v>
      </c>
      <c r="D2507">
        <v>1</v>
      </c>
      <c r="E2507" s="7" t="s">
        <v>112</v>
      </c>
      <c r="F2507" s="7">
        <v>180</v>
      </c>
    </row>
    <row r="2508" spans="1:6" x14ac:dyDescent="0.2">
      <c r="A2508" s="7" t="s">
        <v>281</v>
      </c>
      <c r="B2508">
        <v>80117</v>
      </c>
      <c r="C2508">
        <v>6</v>
      </c>
      <c r="D2508">
        <v>1</v>
      </c>
      <c r="E2508" s="7" t="s">
        <v>112</v>
      </c>
      <c r="F2508" s="7">
        <v>90</v>
      </c>
    </row>
    <row r="2509" spans="1:6" x14ac:dyDescent="0.2">
      <c r="A2509" s="7" t="s">
        <v>281</v>
      </c>
      <c r="B2509">
        <v>80117</v>
      </c>
      <c r="C2509">
        <v>7</v>
      </c>
      <c r="D2509">
        <v>1</v>
      </c>
      <c r="E2509" s="7" t="s">
        <v>112</v>
      </c>
      <c r="F2509" s="7">
        <v>16</v>
      </c>
    </row>
    <row r="2510" spans="1:6" x14ac:dyDescent="0.2">
      <c r="A2510" s="7" t="s">
        <v>281</v>
      </c>
      <c r="B2510">
        <v>80117</v>
      </c>
      <c r="C2510">
        <v>8</v>
      </c>
      <c r="D2510">
        <v>1</v>
      </c>
      <c r="E2510" s="7" t="s">
        <v>112</v>
      </c>
      <c r="F2510" s="7">
        <v>22.6</v>
      </c>
    </row>
    <row r="2511" spans="1:6" x14ac:dyDescent="0.2">
      <c r="A2511" s="7" t="s">
        <v>281</v>
      </c>
      <c r="B2511">
        <v>80117</v>
      </c>
      <c r="C2511">
        <v>9</v>
      </c>
      <c r="D2511">
        <v>1</v>
      </c>
      <c r="E2511" s="7" t="s">
        <v>112</v>
      </c>
      <c r="F2511" s="7">
        <v>16</v>
      </c>
    </row>
    <row r="2512" spans="1:6" x14ac:dyDescent="0.2">
      <c r="A2512" s="7" t="s">
        <v>281</v>
      </c>
      <c r="B2512">
        <v>80117</v>
      </c>
      <c r="C2512">
        <v>10</v>
      </c>
      <c r="D2512">
        <v>1</v>
      </c>
      <c r="E2512" s="7" t="s">
        <v>125</v>
      </c>
      <c r="F2512" s="7">
        <v>11</v>
      </c>
    </row>
    <row r="2513" spans="1:6" x14ac:dyDescent="0.2">
      <c r="A2513" s="7" t="s">
        <v>281</v>
      </c>
      <c r="B2513">
        <v>80117</v>
      </c>
      <c r="C2513">
        <v>11</v>
      </c>
      <c r="D2513">
        <v>1</v>
      </c>
      <c r="E2513" s="7" t="s">
        <v>125</v>
      </c>
      <c r="F2513" s="7">
        <v>64</v>
      </c>
    </row>
    <row r="2514" spans="1:6" x14ac:dyDescent="0.2">
      <c r="A2514" s="7" t="s">
        <v>281</v>
      </c>
      <c r="B2514">
        <v>80117</v>
      </c>
      <c r="C2514">
        <v>12</v>
      </c>
      <c r="D2514">
        <v>1</v>
      </c>
      <c r="E2514" s="7" t="s">
        <v>127</v>
      </c>
      <c r="F2514" s="7">
        <v>32</v>
      </c>
    </row>
    <row r="2515" spans="1:6" x14ac:dyDescent="0.2">
      <c r="A2515" s="7" t="s">
        <v>281</v>
      </c>
      <c r="B2515">
        <v>80117</v>
      </c>
      <c r="C2515">
        <v>13</v>
      </c>
      <c r="D2515">
        <v>1</v>
      </c>
      <c r="E2515" s="7" t="s">
        <v>127</v>
      </c>
      <c r="F2515" s="7">
        <v>16</v>
      </c>
    </row>
    <row r="2516" spans="1:6" x14ac:dyDescent="0.2">
      <c r="A2516" s="7" t="s">
        <v>281</v>
      </c>
      <c r="B2516">
        <v>80117</v>
      </c>
      <c r="C2516">
        <v>14</v>
      </c>
      <c r="D2516">
        <v>1</v>
      </c>
      <c r="E2516" s="7" t="s">
        <v>127</v>
      </c>
      <c r="F2516" s="7">
        <v>64</v>
      </c>
    </row>
    <row r="2517" spans="1:6" x14ac:dyDescent="0.2">
      <c r="A2517" s="7" t="s">
        <v>281</v>
      </c>
      <c r="B2517">
        <v>80117</v>
      </c>
      <c r="C2517">
        <v>15</v>
      </c>
      <c r="D2517">
        <v>1</v>
      </c>
      <c r="E2517" s="7" t="s">
        <v>200</v>
      </c>
      <c r="F2517" s="7" t="s">
        <v>115</v>
      </c>
    </row>
    <row r="2518" spans="1:6" x14ac:dyDescent="0.2">
      <c r="A2518" s="7" t="s">
        <v>281</v>
      </c>
      <c r="B2518">
        <v>80117</v>
      </c>
      <c r="C2518">
        <v>16</v>
      </c>
      <c r="D2518">
        <v>1</v>
      </c>
      <c r="E2518" s="7" t="s">
        <v>200</v>
      </c>
      <c r="F2518" s="7">
        <v>45</v>
      </c>
    </row>
    <row r="2519" spans="1:6" x14ac:dyDescent="0.2">
      <c r="A2519" s="7" t="s">
        <v>281</v>
      </c>
      <c r="B2519">
        <v>80117</v>
      </c>
      <c r="C2519">
        <v>17</v>
      </c>
      <c r="D2519">
        <v>2</v>
      </c>
      <c r="E2519" s="7" t="s">
        <v>200</v>
      </c>
      <c r="F2519" s="7">
        <v>128</v>
      </c>
    </row>
    <row r="2520" spans="1:6" x14ac:dyDescent="0.2">
      <c r="A2520" s="7" t="s">
        <v>281</v>
      </c>
      <c r="B2520">
        <v>80117</v>
      </c>
      <c r="C2520">
        <v>18</v>
      </c>
      <c r="D2520">
        <v>2</v>
      </c>
      <c r="E2520" s="7" t="s">
        <v>127</v>
      </c>
      <c r="F2520" s="7">
        <v>64</v>
      </c>
    </row>
    <row r="2521" spans="1:6" x14ac:dyDescent="0.2">
      <c r="A2521" s="7" t="s">
        <v>281</v>
      </c>
      <c r="B2521">
        <v>80117</v>
      </c>
      <c r="C2521">
        <v>19</v>
      </c>
      <c r="D2521">
        <v>2</v>
      </c>
      <c r="E2521" s="7" t="s">
        <v>127</v>
      </c>
      <c r="F2521" s="7">
        <v>45</v>
      </c>
    </row>
    <row r="2522" spans="1:6" x14ac:dyDescent="0.2">
      <c r="A2522" s="7" t="s">
        <v>281</v>
      </c>
      <c r="B2522">
        <v>80117</v>
      </c>
      <c r="C2522">
        <v>20</v>
      </c>
      <c r="D2522">
        <v>2</v>
      </c>
      <c r="E2522" s="7" t="s">
        <v>127</v>
      </c>
      <c r="F2522" s="7">
        <v>5.6</v>
      </c>
    </row>
    <row r="2523" spans="1:6" x14ac:dyDescent="0.2">
      <c r="A2523" s="7" t="s">
        <v>281</v>
      </c>
      <c r="B2523">
        <v>80117</v>
      </c>
      <c r="C2523">
        <v>21</v>
      </c>
      <c r="D2523">
        <v>2</v>
      </c>
      <c r="E2523" s="7" t="s">
        <v>130</v>
      </c>
      <c r="F2523" s="7">
        <v>5.6</v>
      </c>
    </row>
    <row r="2524" spans="1:6" x14ac:dyDescent="0.2">
      <c r="A2524" s="7" t="s">
        <v>281</v>
      </c>
      <c r="B2524">
        <v>80117</v>
      </c>
      <c r="C2524">
        <v>22</v>
      </c>
      <c r="D2524">
        <v>2</v>
      </c>
      <c r="E2524" s="7" t="s">
        <v>127</v>
      </c>
      <c r="F2524" s="7">
        <v>45</v>
      </c>
    </row>
    <row r="2525" spans="1:6" x14ac:dyDescent="0.2">
      <c r="A2525" s="7" t="s">
        <v>281</v>
      </c>
      <c r="B2525">
        <v>80117</v>
      </c>
      <c r="C2525">
        <v>23</v>
      </c>
      <c r="D2525">
        <v>2</v>
      </c>
      <c r="E2525" s="7" t="s">
        <v>127</v>
      </c>
      <c r="F2525" s="7">
        <v>45</v>
      </c>
    </row>
    <row r="2526" spans="1:6" x14ac:dyDescent="0.2">
      <c r="A2526" s="7" t="s">
        <v>281</v>
      </c>
      <c r="B2526">
        <v>80117</v>
      </c>
      <c r="C2526">
        <v>24</v>
      </c>
      <c r="D2526">
        <v>2</v>
      </c>
      <c r="E2526" s="7" t="s">
        <v>127</v>
      </c>
      <c r="F2526" s="7">
        <v>4</v>
      </c>
    </row>
    <row r="2527" spans="1:6" x14ac:dyDescent="0.2">
      <c r="A2527" s="7" t="s">
        <v>281</v>
      </c>
      <c r="B2527">
        <v>80117</v>
      </c>
      <c r="C2527">
        <v>25</v>
      </c>
      <c r="D2527">
        <v>2</v>
      </c>
      <c r="E2527" s="7" t="s">
        <v>127</v>
      </c>
      <c r="F2527" s="7">
        <v>64</v>
      </c>
    </row>
    <row r="2528" spans="1:6" x14ac:dyDescent="0.2">
      <c r="A2528" s="7" t="s">
        <v>281</v>
      </c>
      <c r="B2528">
        <v>80117</v>
      </c>
      <c r="C2528">
        <v>26</v>
      </c>
      <c r="D2528">
        <v>2</v>
      </c>
      <c r="E2528" s="7" t="s">
        <v>127</v>
      </c>
      <c r="F2528" s="7">
        <v>32</v>
      </c>
    </row>
    <row r="2529" spans="1:6" x14ac:dyDescent="0.2">
      <c r="A2529" s="7" t="s">
        <v>281</v>
      </c>
      <c r="B2529">
        <v>80117</v>
      </c>
      <c r="C2529">
        <v>27</v>
      </c>
      <c r="D2529">
        <v>2</v>
      </c>
      <c r="E2529" s="7" t="s">
        <v>127</v>
      </c>
      <c r="F2529" s="7">
        <v>128</v>
      </c>
    </row>
    <row r="2530" spans="1:6" x14ac:dyDescent="0.2">
      <c r="A2530" s="7" t="s">
        <v>281</v>
      </c>
      <c r="B2530">
        <v>80117</v>
      </c>
      <c r="C2530">
        <v>28</v>
      </c>
      <c r="D2530">
        <v>2</v>
      </c>
      <c r="E2530" s="7" t="s">
        <v>127</v>
      </c>
      <c r="F2530" s="7">
        <v>32</v>
      </c>
    </row>
    <row r="2531" spans="1:6" x14ac:dyDescent="0.2">
      <c r="A2531" s="7" t="s">
        <v>281</v>
      </c>
      <c r="B2531">
        <v>80117</v>
      </c>
      <c r="C2531">
        <v>29</v>
      </c>
      <c r="D2531">
        <v>2</v>
      </c>
      <c r="E2531" s="7" t="s">
        <v>127</v>
      </c>
      <c r="F2531" s="7">
        <v>180</v>
      </c>
    </row>
    <row r="2532" spans="1:6" x14ac:dyDescent="0.2">
      <c r="A2532" s="7" t="s">
        <v>281</v>
      </c>
      <c r="B2532">
        <v>80117</v>
      </c>
      <c r="C2532">
        <v>30</v>
      </c>
      <c r="D2532">
        <v>2</v>
      </c>
      <c r="E2532" s="7" t="s">
        <v>127</v>
      </c>
      <c r="F2532" s="7">
        <v>45</v>
      </c>
    </row>
    <row r="2533" spans="1:6" x14ac:dyDescent="0.2">
      <c r="A2533" s="7" t="s">
        <v>281</v>
      </c>
      <c r="B2533">
        <v>80117</v>
      </c>
      <c r="C2533">
        <v>31</v>
      </c>
      <c r="D2533">
        <v>2</v>
      </c>
      <c r="E2533" s="7" t="s">
        <v>200</v>
      </c>
      <c r="F2533" s="7">
        <v>90</v>
      </c>
    </row>
    <row r="2534" spans="1:6" x14ac:dyDescent="0.2">
      <c r="A2534" s="7" t="s">
        <v>281</v>
      </c>
      <c r="B2534">
        <v>80117</v>
      </c>
      <c r="C2534">
        <v>32</v>
      </c>
      <c r="D2534">
        <v>2</v>
      </c>
      <c r="E2534" s="7" t="s">
        <v>200</v>
      </c>
      <c r="F2534" s="7">
        <v>45</v>
      </c>
    </row>
    <row r="2535" spans="1:6" x14ac:dyDescent="0.2">
      <c r="A2535" s="7" t="s">
        <v>281</v>
      </c>
      <c r="B2535">
        <v>80117</v>
      </c>
      <c r="C2535">
        <v>33</v>
      </c>
      <c r="D2535">
        <v>3</v>
      </c>
      <c r="E2535" s="7" t="s">
        <v>200</v>
      </c>
      <c r="F2535" s="7">
        <v>45</v>
      </c>
    </row>
    <row r="2536" spans="1:6" x14ac:dyDescent="0.2">
      <c r="A2536" s="7" t="s">
        <v>281</v>
      </c>
      <c r="B2536">
        <v>80117</v>
      </c>
      <c r="C2536">
        <v>34</v>
      </c>
      <c r="D2536">
        <v>3</v>
      </c>
      <c r="E2536" s="7" t="s">
        <v>200</v>
      </c>
      <c r="F2536" s="7">
        <v>45</v>
      </c>
    </row>
    <row r="2537" spans="1:6" x14ac:dyDescent="0.2">
      <c r="A2537" s="7" t="s">
        <v>281</v>
      </c>
      <c r="B2537">
        <v>80117</v>
      </c>
      <c r="C2537">
        <v>35</v>
      </c>
      <c r="D2537">
        <v>3</v>
      </c>
      <c r="E2537" s="7" t="s">
        <v>200</v>
      </c>
      <c r="F2537" s="7">
        <v>180</v>
      </c>
    </row>
    <row r="2538" spans="1:6" x14ac:dyDescent="0.2">
      <c r="A2538" s="7" t="s">
        <v>281</v>
      </c>
      <c r="B2538">
        <v>80117</v>
      </c>
      <c r="C2538">
        <v>36</v>
      </c>
      <c r="D2538">
        <v>3</v>
      </c>
      <c r="E2538" s="7" t="s">
        <v>127</v>
      </c>
      <c r="F2538" s="7">
        <v>180</v>
      </c>
    </row>
    <row r="2539" spans="1:6" x14ac:dyDescent="0.2">
      <c r="A2539" s="7" t="s">
        <v>281</v>
      </c>
      <c r="B2539">
        <v>80117</v>
      </c>
      <c r="C2539">
        <v>37</v>
      </c>
      <c r="D2539">
        <v>3</v>
      </c>
      <c r="E2539" s="7" t="s">
        <v>127</v>
      </c>
      <c r="F2539" s="7">
        <v>64</v>
      </c>
    </row>
    <row r="2540" spans="1:6" x14ac:dyDescent="0.2">
      <c r="A2540" s="7" t="s">
        <v>281</v>
      </c>
      <c r="B2540">
        <v>80117</v>
      </c>
      <c r="C2540">
        <v>38</v>
      </c>
      <c r="D2540">
        <v>3</v>
      </c>
      <c r="E2540" s="7" t="s">
        <v>127</v>
      </c>
      <c r="F2540" s="7">
        <v>11</v>
      </c>
    </row>
    <row r="2541" spans="1:6" x14ac:dyDescent="0.2">
      <c r="A2541" s="7" t="s">
        <v>281</v>
      </c>
      <c r="B2541">
        <v>80117</v>
      </c>
      <c r="C2541">
        <v>39</v>
      </c>
      <c r="D2541">
        <v>3</v>
      </c>
      <c r="E2541" s="7" t="s">
        <v>127</v>
      </c>
      <c r="F2541" s="7">
        <v>64</v>
      </c>
    </row>
    <row r="2542" spans="1:6" x14ac:dyDescent="0.2">
      <c r="A2542" s="7" t="s">
        <v>281</v>
      </c>
      <c r="B2542">
        <v>80117</v>
      </c>
      <c r="C2542">
        <v>40</v>
      </c>
      <c r="D2542">
        <v>3</v>
      </c>
      <c r="E2542" s="7" t="s">
        <v>127</v>
      </c>
      <c r="F2542" s="7">
        <v>45</v>
      </c>
    </row>
    <row r="2543" spans="1:6" x14ac:dyDescent="0.2">
      <c r="A2543" s="7" t="s">
        <v>281</v>
      </c>
      <c r="B2543">
        <v>80117</v>
      </c>
      <c r="C2543">
        <v>41</v>
      </c>
      <c r="D2543">
        <v>3</v>
      </c>
      <c r="E2543" s="7" t="s">
        <v>127</v>
      </c>
      <c r="F2543" s="7">
        <v>90</v>
      </c>
    </row>
    <row r="2544" spans="1:6" x14ac:dyDescent="0.2">
      <c r="A2544" s="7" t="s">
        <v>281</v>
      </c>
      <c r="B2544">
        <v>80117</v>
      </c>
      <c r="C2544">
        <v>42</v>
      </c>
      <c r="D2544">
        <v>3</v>
      </c>
      <c r="E2544" s="7" t="s">
        <v>127</v>
      </c>
      <c r="F2544" s="7">
        <v>11</v>
      </c>
    </row>
    <row r="2545" spans="1:6" x14ac:dyDescent="0.2">
      <c r="A2545" s="7" t="s">
        <v>281</v>
      </c>
      <c r="B2545">
        <v>80117</v>
      </c>
      <c r="C2545">
        <v>43</v>
      </c>
      <c r="D2545">
        <v>3</v>
      </c>
      <c r="E2545" s="7" t="s">
        <v>127</v>
      </c>
      <c r="F2545" s="7">
        <v>45</v>
      </c>
    </row>
    <row r="2546" spans="1:6" x14ac:dyDescent="0.2">
      <c r="A2546" s="7" t="s">
        <v>281</v>
      </c>
      <c r="B2546">
        <v>80117</v>
      </c>
      <c r="C2546">
        <v>44</v>
      </c>
      <c r="D2546">
        <v>3</v>
      </c>
      <c r="E2546" s="7" t="s">
        <v>127</v>
      </c>
      <c r="F2546" s="7">
        <v>32</v>
      </c>
    </row>
    <row r="2547" spans="1:6" x14ac:dyDescent="0.2">
      <c r="A2547" s="7" t="s">
        <v>281</v>
      </c>
      <c r="B2547">
        <v>80117</v>
      </c>
      <c r="C2547">
        <v>45</v>
      </c>
      <c r="D2547">
        <v>3</v>
      </c>
      <c r="E2547" s="7" t="s">
        <v>127</v>
      </c>
      <c r="F2547" s="7">
        <v>90</v>
      </c>
    </row>
    <row r="2548" spans="1:6" x14ac:dyDescent="0.2">
      <c r="A2548" s="7" t="s">
        <v>281</v>
      </c>
      <c r="B2548">
        <v>80117</v>
      </c>
      <c r="C2548">
        <v>46</v>
      </c>
      <c r="D2548">
        <v>3</v>
      </c>
      <c r="E2548" s="7" t="s">
        <v>127</v>
      </c>
      <c r="F2548" s="7">
        <v>16</v>
      </c>
    </row>
    <row r="2549" spans="1:6" x14ac:dyDescent="0.2">
      <c r="A2549" s="7" t="s">
        <v>281</v>
      </c>
      <c r="B2549">
        <v>80117</v>
      </c>
      <c r="C2549">
        <v>47</v>
      </c>
      <c r="D2549">
        <v>3</v>
      </c>
      <c r="E2549" s="7" t="s">
        <v>127</v>
      </c>
      <c r="F2549" s="7">
        <v>16</v>
      </c>
    </row>
    <row r="2550" spans="1:6" x14ac:dyDescent="0.2">
      <c r="A2550" s="7" t="s">
        <v>281</v>
      </c>
      <c r="B2550">
        <v>80117</v>
      </c>
      <c r="C2550">
        <v>48</v>
      </c>
      <c r="D2550">
        <v>3</v>
      </c>
      <c r="E2550" s="7" t="s">
        <v>200</v>
      </c>
      <c r="F2550" s="7">
        <v>64</v>
      </c>
    </row>
    <row r="2551" spans="1:6" x14ac:dyDescent="0.2">
      <c r="A2551" s="7" t="s">
        <v>281</v>
      </c>
      <c r="B2551">
        <v>80117</v>
      </c>
      <c r="C2551">
        <v>49</v>
      </c>
      <c r="D2551">
        <v>3</v>
      </c>
      <c r="E2551" s="7" t="s">
        <v>200</v>
      </c>
      <c r="F2551" s="7">
        <v>11</v>
      </c>
    </row>
    <row r="2552" spans="1:6" x14ac:dyDescent="0.2">
      <c r="A2552" s="7" t="s">
        <v>281</v>
      </c>
      <c r="B2552">
        <v>80117</v>
      </c>
      <c r="C2552">
        <v>50</v>
      </c>
      <c r="D2552">
        <v>4</v>
      </c>
      <c r="E2552" s="7" t="s">
        <v>200</v>
      </c>
      <c r="F2552" s="7">
        <v>32</v>
      </c>
    </row>
    <row r="2553" spans="1:6" x14ac:dyDescent="0.2">
      <c r="A2553" s="7" t="s">
        <v>281</v>
      </c>
      <c r="B2553">
        <v>80117</v>
      </c>
      <c r="C2553">
        <v>51</v>
      </c>
      <c r="D2553">
        <v>4</v>
      </c>
      <c r="E2553" s="7" t="s">
        <v>127</v>
      </c>
      <c r="F2553" s="7">
        <v>22.6</v>
      </c>
    </row>
    <row r="2554" spans="1:6" x14ac:dyDescent="0.2">
      <c r="A2554" s="7" t="s">
        <v>281</v>
      </c>
      <c r="B2554">
        <v>80117</v>
      </c>
      <c r="C2554">
        <v>52</v>
      </c>
      <c r="D2554">
        <v>4</v>
      </c>
      <c r="E2554" s="7" t="s">
        <v>127</v>
      </c>
      <c r="F2554" s="7">
        <v>90</v>
      </c>
    </row>
    <row r="2555" spans="1:6" x14ac:dyDescent="0.2">
      <c r="A2555" s="7" t="s">
        <v>281</v>
      </c>
      <c r="B2555">
        <v>80117</v>
      </c>
      <c r="C2555">
        <v>53</v>
      </c>
      <c r="D2555">
        <v>4</v>
      </c>
      <c r="E2555" s="7" t="s">
        <v>127</v>
      </c>
      <c r="F2555" s="7">
        <v>45</v>
      </c>
    </row>
    <row r="2556" spans="1:6" x14ac:dyDescent="0.2">
      <c r="A2556" s="7" t="s">
        <v>281</v>
      </c>
      <c r="B2556">
        <v>80117</v>
      </c>
      <c r="C2556">
        <v>54</v>
      </c>
      <c r="D2556">
        <v>4</v>
      </c>
      <c r="E2556" s="7" t="s">
        <v>127</v>
      </c>
      <c r="F2556" s="7">
        <v>180</v>
      </c>
    </row>
    <row r="2557" spans="1:6" x14ac:dyDescent="0.2">
      <c r="A2557" s="7" t="s">
        <v>281</v>
      </c>
      <c r="B2557">
        <v>80117</v>
      </c>
      <c r="C2557">
        <v>55</v>
      </c>
      <c r="D2557">
        <v>4</v>
      </c>
      <c r="E2557" s="7" t="s">
        <v>127</v>
      </c>
      <c r="F2557" s="7">
        <v>64</v>
      </c>
    </row>
    <row r="2558" spans="1:6" x14ac:dyDescent="0.2">
      <c r="A2558" s="7" t="s">
        <v>281</v>
      </c>
      <c r="B2558">
        <v>80117</v>
      </c>
      <c r="C2558">
        <v>56</v>
      </c>
      <c r="D2558">
        <v>4</v>
      </c>
      <c r="E2558" s="7" t="s">
        <v>127</v>
      </c>
      <c r="F2558" s="7">
        <v>180</v>
      </c>
    </row>
    <row r="2559" spans="1:6" x14ac:dyDescent="0.2">
      <c r="A2559" s="7" t="s">
        <v>281</v>
      </c>
      <c r="B2559">
        <v>80117</v>
      </c>
      <c r="C2559">
        <v>57</v>
      </c>
      <c r="D2559">
        <v>4</v>
      </c>
      <c r="E2559" s="7" t="s">
        <v>127</v>
      </c>
      <c r="F2559" s="7">
        <v>90</v>
      </c>
    </row>
    <row r="2560" spans="1:6" x14ac:dyDescent="0.2">
      <c r="A2560" s="7" t="s">
        <v>281</v>
      </c>
      <c r="B2560">
        <v>80117</v>
      </c>
      <c r="C2560">
        <v>58</v>
      </c>
      <c r="D2560">
        <v>4</v>
      </c>
      <c r="E2560" s="7" t="s">
        <v>127</v>
      </c>
      <c r="F2560" s="7">
        <v>180</v>
      </c>
    </row>
    <row r="2561" spans="1:6" x14ac:dyDescent="0.2">
      <c r="A2561" s="7" t="s">
        <v>281</v>
      </c>
      <c r="B2561">
        <v>80117</v>
      </c>
      <c r="C2561">
        <v>59</v>
      </c>
      <c r="D2561">
        <v>4</v>
      </c>
      <c r="E2561" s="7" t="s">
        <v>127</v>
      </c>
      <c r="F2561" s="7">
        <v>32</v>
      </c>
    </row>
    <row r="2562" spans="1:6" x14ac:dyDescent="0.2">
      <c r="A2562" s="7" t="s">
        <v>281</v>
      </c>
      <c r="B2562">
        <v>80117</v>
      </c>
      <c r="C2562">
        <v>60</v>
      </c>
      <c r="D2562">
        <v>4</v>
      </c>
      <c r="E2562" s="7" t="s">
        <v>127</v>
      </c>
      <c r="F2562" s="7">
        <v>16</v>
      </c>
    </row>
    <row r="2563" spans="1:6" x14ac:dyDescent="0.2">
      <c r="A2563" s="7" t="s">
        <v>281</v>
      </c>
      <c r="B2563">
        <v>80117</v>
      </c>
      <c r="C2563">
        <v>61</v>
      </c>
      <c r="D2563">
        <v>4</v>
      </c>
      <c r="E2563" s="7" t="s">
        <v>127</v>
      </c>
      <c r="F2563" s="7">
        <v>180</v>
      </c>
    </row>
    <row r="2564" spans="1:6" x14ac:dyDescent="0.2">
      <c r="A2564" s="7" t="s">
        <v>281</v>
      </c>
      <c r="B2564">
        <v>80117</v>
      </c>
      <c r="C2564">
        <v>62</v>
      </c>
      <c r="D2564">
        <v>4</v>
      </c>
      <c r="E2564" s="7" t="s">
        <v>200</v>
      </c>
      <c r="F2564" s="7">
        <v>128</v>
      </c>
    </row>
    <row r="2565" spans="1:6" x14ac:dyDescent="0.2">
      <c r="A2565" s="7" t="s">
        <v>281</v>
      </c>
      <c r="B2565">
        <v>80117</v>
      </c>
      <c r="C2565">
        <v>63</v>
      </c>
      <c r="D2565">
        <v>4</v>
      </c>
      <c r="E2565" s="7" t="s">
        <v>200</v>
      </c>
      <c r="F2565" s="7">
        <v>128</v>
      </c>
    </row>
    <row r="2566" spans="1:6" x14ac:dyDescent="0.2">
      <c r="A2566" s="7" t="s">
        <v>281</v>
      </c>
      <c r="B2566">
        <v>80117</v>
      </c>
      <c r="C2566">
        <v>64</v>
      </c>
      <c r="D2566">
        <v>4</v>
      </c>
      <c r="E2566" s="7" t="s">
        <v>200</v>
      </c>
      <c r="F2566" s="7">
        <v>180</v>
      </c>
    </row>
    <row r="2567" spans="1:6" x14ac:dyDescent="0.2">
      <c r="A2567" s="7" t="s">
        <v>281</v>
      </c>
      <c r="B2567">
        <v>80117</v>
      </c>
      <c r="C2567">
        <v>65</v>
      </c>
      <c r="D2567">
        <v>4</v>
      </c>
      <c r="E2567" s="7" t="s">
        <v>200</v>
      </c>
      <c r="F2567" s="7" t="s">
        <v>115</v>
      </c>
    </row>
    <row r="2568" spans="1:6" x14ac:dyDescent="0.2">
      <c r="A2568" s="7" t="s">
        <v>281</v>
      </c>
      <c r="B2568">
        <v>80117</v>
      </c>
      <c r="C2568">
        <v>66</v>
      </c>
      <c r="D2568">
        <v>5</v>
      </c>
      <c r="E2568" s="7" t="s">
        <v>200</v>
      </c>
      <c r="F2568" s="7">
        <v>180</v>
      </c>
    </row>
    <row r="2569" spans="1:6" x14ac:dyDescent="0.2">
      <c r="A2569" s="7" t="s">
        <v>281</v>
      </c>
      <c r="B2569">
        <v>80117</v>
      </c>
      <c r="C2569">
        <v>67</v>
      </c>
      <c r="D2569">
        <v>5</v>
      </c>
      <c r="E2569" s="7" t="s">
        <v>200</v>
      </c>
      <c r="F2569" s="7">
        <v>45</v>
      </c>
    </row>
    <row r="2570" spans="1:6" x14ac:dyDescent="0.2">
      <c r="A2570" s="7" t="s">
        <v>281</v>
      </c>
      <c r="B2570">
        <v>80117</v>
      </c>
      <c r="C2570">
        <v>68</v>
      </c>
      <c r="D2570">
        <v>5</v>
      </c>
      <c r="E2570" s="7" t="s">
        <v>200</v>
      </c>
      <c r="F2570" s="7">
        <v>11</v>
      </c>
    </row>
    <row r="2571" spans="1:6" x14ac:dyDescent="0.2">
      <c r="A2571" s="7" t="s">
        <v>281</v>
      </c>
      <c r="B2571">
        <v>80117</v>
      </c>
      <c r="C2571">
        <v>69</v>
      </c>
      <c r="D2571">
        <v>5</v>
      </c>
      <c r="E2571" s="7" t="s">
        <v>127</v>
      </c>
      <c r="F2571" s="7">
        <v>16</v>
      </c>
    </row>
    <row r="2572" spans="1:6" x14ac:dyDescent="0.2">
      <c r="A2572" s="7" t="s">
        <v>281</v>
      </c>
      <c r="B2572">
        <v>80117</v>
      </c>
      <c r="C2572">
        <v>70</v>
      </c>
      <c r="D2572">
        <v>5</v>
      </c>
      <c r="E2572" s="7" t="s">
        <v>127</v>
      </c>
      <c r="F2572" s="7">
        <v>32</v>
      </c>
    </row>
    <row r="2573" spans="1:6" x14ac:dyDescent="0.2">
      <c r="A2573" s="7" t="s">
        <v>281</v>
      </c>
      <c r="B2573">
        <v>80117</v>
      </c>
      <c r="C2573">
        <v>71</v>
      </c>
      <c r="D2573">
        <v>5</v>
      </c>
      <c r="E2573" s="7" t="s">
        <v>127</v>
      </c>
      <c r="F2573" s="7">
        <v>8</v>
      </c>
    </row>
    <row r="2574" spans="1:6" x14ac:dyDescent="0.2">
      <c r="A2574" s="7" t="s">
        <v>281</v>
      </c>
      <c r="B2574">
        <v>80117</v>
      </c>
      <c r="C2574">
        <v>72</v>
      </c>
      <c r="D2574">
        <v>5</v>
      </c>
      <c r="E2574" s="7" t="s">
        <v>127</v>
      </c>
      <c r="F2574" s="7">
        <v>64</v>
      </c>
    </row>
    <row r="2575" spans="1:6" x14ac:dyDescent="0.2">
      <c r="A2575" s="7" t="s">
        <v>281</v>
      </c>
      <c r="B2575">
        <v>80117</v>
      </c>
      <c r="C2575">
        <v>73</v>
      </c>
      <c r="D2575">
        <v>5</v>
      </c>
      <c r="E2575" s="7" t="s">
        <v>127</v>
      </c>
      <c r="F2575" s="7">
        <v>32</v>
      </c>
    </row>
    <row r="2576" spans="1:6" x14ac:dyDescent="0.2">
      <c r="A2576" s="7" t="s">
        <v>281</v>
      </c>
      <c r="B2576">
        <v>80117</v>
      </c>
      <c r="C2576">
        <v>74</v>
      </c>
      <c r="D2576">
        <v>5</v>
      </c>
      <c r="E2576" s="7" t="s">
        <v>127</v>
      </c>
      <c r="F2576" s="7">
        <v>5.6</v>
      </c>
    </row>
    <row r="2577" spans="1:6" x14ac:dyDescent="0.2">
      <c r="A2577" s="7" t="s">
        <v>281</v>
      </c>
      <c r="B2577">
        <v>80117</v>
      </c>
      <c r="C2577">
        <v>75</v>
      </c>
      <c r="D2577">
        <v>5</v>
      </c>
      <c r="E2577" s="7" t="s">
        <v>127</v>
      </c>
      <c r="F2577" s="7">
        <v>90</v>
      </c>
    </row>
    <row r="2578" spans="1:6" x14ac:dyDescent="0.2">
      <c r="A2578" s="7" t="s">
        <v>281</v>
      </c>
      <c r="B2578">
        <v>80117</v>
      </c>
      <c r="C2578">
        <v>76</v>
      </c>
      <c r="D2578">
        <v>5</v>
      </c>
      <c r="E2578" s="7" t="s">
        <v>127</v>
      </c>
      <c r="F2578" s="7">
        <v>4</v>
      </c>
    </row>
    <row r="2579" spans="1:6" x14ac:dyDescent="0.2">
      <c r="A2579" s="7" t="s">
        <v>281</v>
      </c>
      <c r="B2579">
        <v>80117</v>
      </c>
      <c r="C2579">
        <v>77</v>
      </c>
      <c r="D2579">
        <v>5</v>
      </c>
      <c r="E2579" s="7" t="s">
        <v>127</v>
      </c>
      <c r="F2579" s="7">
        <v>16</v>
      </c>
    </row>
    <row r="2580" spans="1:6" x14ac:dyDescent="0.2">
      <c r="A2580" s="7" t="s">
        <v>281</v>
      </c>
      <c r="B2580">
        <v>80117</v>
      </c>
      <c r="C2580">
        <v>78</v>
      </c>
      <c r="D2580">
        <v>5</v>
      </c>
      <c r="E2580" s="7" t="s">
        <v>127</v>
      </c>
      <c r="F2580" s="7">
        <v>16</v>
      </c>
    </row>
    <row r="2581" spans="1:6" x14ac:dyDescent="0.2">
      <c r="A2581" s="7" t="s">
        <v>281</v>
      </c>
      <c r="B2581">
        <v>80117</v>
      </c>
      <c r="C2581">
        <v>79</v>
      </c>
      <c r="D2581">
        <v>5</v>
      </c>
      <c r="E2581" s="7" t="s">
        <v>200</v>
      </c>
      <c r="F2581" s="7">
        <v>180</v>
      </c>
    </row>
    <row r="2582" spans="1:6" x14ac:dyDescent="0.2">
      <c r="A2582" s="7" t="s">
        <v>281</v>
      </c>
      <c r="B2582">
        <v>80117</v>
      </c>
      <c r="C2582">
        <v>80</v>
      </c>
      <c r="D2582">
        <v>5</v>
      </c>
      <c r="E2582" s="7" t="s">
        <v>200</v>
      </c>
      <c r="F2582" s="7">
        <v>5.6</v>
      </c>
    </row>
    <row r="2583" spans="1:6" x14ac:dyDescent="0.2">
      <c r="A2583" s="7" t="s">
        <v>281</v>
      </c>
      <c r="B2583">
        <v>80117</v>
      </c>
      <c r="C2583">
        <v>81</v>
      </c>
      <c r="D2583">
        <v>6</v>
      </c>
      <c r="E2583" s="7" t="s">
        <v>200</v>
      </c>
      <c r="F2583" s="7">
        <v>180</v>
      </c>
    </row>
    <row r="2584" spans="1:6" x14ac:dyDescent="0.2">
      <c r="A2584" s="7" t="s">
        <v>281</v>
      </c>
      <c r="B2584">
        <v>80117</v>
      </c>
      <c r="C2584">
        <v>82</v>
      </c>
      <c r="D2584">
        <v>6</v>
      </c>
      <c r="E2584" s="7" t="s">
        <v>130</v>
      </c>
      <c r="F2584" s="7">
        <v>32</v>
      </c>
    </row>
    <row r="2585" spans="1:6" x14ac:dyDescent="0.2">
      <c r="A2585" s="7" t="s">
        <v>281</v>
      </c>
      <c r="B2585">
        <v>80117</v>
      </c>
      <c r="C2585">
        <v>83</v>
      </c>
      <c r="D2585">
        <v>6</v>
      </c>
      <c r="E2585" s="7" t="s">
        <v>127</v>
      </c>
      <c r="F2585" s="7">
        <v>128</v>
      </c>
    </row>
    <row r="2586" spans="1:6" x14ac:dyDescent="0.2">
      <c r="A2586" s="7" t="s">
        <v>281</v>
      </c>
      <c r="B2586">
        <v>80117</v>
      </c>
      <c r="C2586">
        <v>84</v>
      </c>
      <c r="D2586">
        <v>6</v>
      </c>
      <c r="E2586" s="7" t="s">
        <v>127</v>
      </c>
      <c r="F2586" s="7">
        <v>128</v>
      </c>
    </row>
    <row r="2587" spans="1:6" x14ac:dyDescent="0.2">
      <c r="A2587" s="7" t="s">
        <v>281</v>
      </c>
      <c r="B2587">
        <v>80117</v>
      </c>
      <c r="C2587">
        <v>85</v>
      </c>
      <c r="D2587">
        <v>6</v>
      </c>
      <c r="E2587" s="7" t="s">
        <v>127</v>
      </c>
      <c r="F2587" s="7">
        <v>128</v>
      </c>
    </row>
    <row r="2588" spans="1:6" x14ac:dyDescent="0.2">
      <c r="A2588" s="7" t="s">
        <v>281</v>
      </c>
      <c r="B2588">
        <v>80117</v>
      </c>
      <c r="C2588">
        <v>86</v>
      </c>
      <c r="D2588">
        <v>6</v>
      </c>
      <c r="E2588" s="7" t="s">
        <v>127</v>
      </c>
      <c r="F2588" s="7">
        <v>16</v>
      </c>
    </row>
    <row r="2589" spans="1:6" x14ac:dyDescent="0.2">
      <c r="A2589" s="7" t="s">
        <v>281</v>
      </c>
      <c r="B2589">
        <v>80117</v>
      </c>
      <c r="C2589">
        <v>87</v>
      </c>
      <c r="D2589">
        <v>6</v>
      </c>
      <c r="E2589" s="7" t="s">
        <v>127</v>
      </c>
      <c r="F2589" s="7">
        <v>45</v>
      </c>
    </row>
    <row r="2590" spans="1:6" x14ac:dyDescent="0.2">
      <c r="A2590" s="7" t="s">
        <v>281</v>
      </c>
      <c r="B2590">
        <v>80117</v>
      </c>
      <c r="C2590">
        <v>88</v>
      </c>
      <c r="D2590">
        <v>6</v>
      </c>
      <c r="E2590" s="7" t="s">
        <v>127</v>
      </c>
      <c r="F2590" s="7">
        <v>16</v>
      </c>
    </row>
    <row r="2591" spans="1:6" x14ac:dyDescent="0.2">
      <c r="A2591" s="7" t="s">
        <v>281</v>
      </c>
      <c r="B2591">
        <v>80117</v>
      </c>
      <c r="C2591">
        <v>89</v>
      </c>
      <c r="D2591">
        <v>6</v>
      </c>
      <c r="E2591" s="7" t="s">
        <v>127</v>
      </c>
      <c r="F2591" s="7">
        <v>22.6</v>
      </c>
    </row>
    <row r="2592" spans="1:6" x14ac:dyDescent="0.2">
      <c r="A2592" s="7" t="s">
        <v>281</v>
      </c>
      <c r="B2592">
        <v>80117</v>
      </c>
      <c r="C2592">
        <v>90</v>
      </c>
      <c r="D2592">
        <v>6</v>
      </c>
      <c r="E2592" s="7" t="s">
        <v>200</v>
      </c>
      <c r="F2592" s="7">
        <v>32</v>
      </c>
    </row>
    <row r="2593" spans="1:6" x14ac:dyDescent="0.2">
      <c r="A2593" s="7" t="s">
        <v>281</v>
      </c>
      <c r="B2593">
        <v>80117</v>
      </c>
      <c r="C2593">
        <v>91</v>
      </c>
      <c r="D2593">
        <v>6</v>
      </c>
      <c r="E2593" s="7" t="s">
        <v>200</v>
      </c>
      <c r="F2593" s="7">
        <v>180</v>
      </c>
    </row>
    <row r="2594" spans="1:6" x14ac:dyDescent="0.2">
      <c r="A2594" s="7" t="s">
        <v>281</v>
      </c>
      <c r="B2594">
        <v>80117</v>
      </c>
      <c r="C2594">
        <v>92</v>
      </c>
      <c r="D2594">
        <v>6</v>
      </c>
      <c r="E2594" s="7" t="s">
        <v>200</v>
      </c>
      <c r="F2594" s="7">
        <v>128</v>
      </c>
    </row>
    <row r="2595" spans="1:6" x14ac:dyDescent="0.2">
      <c r="A2595" s="7" t="s">
        <v>281</v>
      </c>
      <c r="B2595">
        <v>80117</v>
      </c>
      <c r="C2595">
        <v>93</v>
      </c>
      <c r="D2595">
        <v>6</v>
      </c>
      <c r="E2595" s="7" t="s">
        <v>200</v>
      </c>
      <c r="F2595" s="7" t="s">
        <v>115</v>
      </c>
    </row>
    <row r="2596" spans="1:6" x14ac:dyDescent="0.2">
      <c r="A2596" s="7" t="s">
        <v>281</v>
      </c>
      <c r="B2596">
        <v>80117</v>
      </c>
      <c r="C2596">
        <v>94</v>
      </c>
      <c r="D2596">
        <v>6</v>
      </c>
      <c r="E2596" s="7" t="s">
        <v>200</v>
      </c>
      <c r="F2596" s="7" t="s">
        <v>115</v>
      </c>
    </row>
    <row r="2597" spans="1:6" x14ac:dyDescent="0.2">
      <c r="A2597" s="7" t="s">
        <v>281</v>
      </c>
      <c r="B2597">
        <v>80117</v>
      </c>
      <c r="C2597">
        <v>95</v>
      </c>
      <c r="D2597">
        <v>6</v>
      </c>
      <c r="E2597" s="7" t="s">
        <v>200</v>
      </c>
      <c r="F2597" s="7">
        <v>180</v>
      </c>
    </row>
    <row r="2598" spans="1:6" x14ac:dyDescent="0.2">
      <c r="A2598" s="7" t="s">
        <v>281</v>
      </c>
      <c r="B2598">
        <v>80117</v>
      </c>
      <c r="C2598">
        <v>96</v>
      </c>
      <c r="D2598">
        <v>7</v>
      </c>
      <c r="E2598" s="7" t="s">
        <v>200</v>
      </c>
      <c r="F2598" s="7" t="s">
        <v>115</v>
      </c>
    </row>
    <row r="2599" spans="1:6" x14ac:dyDescent="0.2">
      <c r="A2599" s="7" t="s">
        <v>281</v>
      </c>
      <c r="B2599">
        <v>80117</v>
      </c>
      <c r="C2599">
        <v>97</v>
      </c>
      <c r="D2599">
        <v>7</v>
      </c>
      <c r="E2599" s="7" t="s">
        <v>200</v>
      </c>
      <c r="F2599" s="7" t="s">
        <v>115</v>
      </c>
    </row>
    <row r="2600" spans="1:6" x14ac:dyDescent="0.2">
      <c r="A2600" s="7" t="s">
        <v>281</v>
      </c>
      <c r="B2600">
        <v>80117</v>
      </c>
      <c r="C2600">
        <v>98</v>
      </c>
      <c r="D2600">
        <v>7</v>
      </c>
      <c r="E2600" s="7" t="s">
        <v>200</v>
      </c>
      <c r="F2600">
        <v>5.6</v>
      </c>
    </row>
    <row r="2601" spans="1:6" x14ac:dyDescent="0.2">
      <c r="A2601" s="7" t="s">
        <v>281</v>
      </c>
      <c r="B2601">
        <v>80117</v>
      </c>
      <c r="C2601">
        <v>99</v>
      </c>
      <c r="D2601">
        <v>7</v>
      </c>
      <c r="E2601" s="7" t="s">
        <v>200</v>
      </c>
      <c r="F2601">
        <v>180</v>
      </c>
    </row>
    <row r="2602" spans="1:6" x14ac:dyDescent="0.2">
      <c r="A2602" s="7" t="s">
        <v>281</v>
      </c>
      <c r="B2602">
        <v>80117</v>
      </c>
      <c r="C2602">
        <v>100</v>
      </c>
      <c r="D2602">
        <v>7</v>
      </c>
      <c r="E2602" s="7" t="s">
        <v>200</v>
      </c>
      <c r="F2602">
        <v>2.8</v>
      </c>
    </row>
    <row r="2603" spans="1:6" x14ac:dyDescent="0.2">
      <c r="A2603" s="7" t="s">
        <v>303</v>
      </c>
      <c r="B2603">
        <v>80517</v>
      </c>
      <c r="C2603">
        <v>1</v>
      </c>
      <c r="D2603">
        <v>1</v>
      </c>
      <c r="E2603" s="7" t="s">
        <v>133</v>
      </c>
      <c r="F2603" s="7" t="s">
        <v>115</v>
      </c>
    </row>
    <row r="2604" spans="1:6" x14ac:dyDescent="0.2">
      <c r="A2604" s="7" t="s">
        <v>303</v>
      </c>
      <c r="B2604">
        <v>80517</v>
      </c>
      <c r="C2604">
        <v>2</v>
      </c>
      <c r="D2604">
        <v>1</v>
      </c>
      <c r="E2604" s="7" t="s">
        <v>112</v>
      </c>
      <c r="F2604" s="7">
        <v>2</v>
      </c>
    </row>
    <row r="2605" spans="1:6" x14ac:dyDescent="0.2">
      <c r="A2605" s="7" t="s">
        <v>303</v>
      </c>
      <c r="B2605">
        <v>80517</v>
      </c>
      <c r="C2605">
        <v>3</v>
      </c>
      <c r="D2605">
        <v>1</v>
      </c>
      <c r="E2605" s="7" t="s">
        <v>127</v>
      </c>
      <c r="F2605" s="7">
        <v>45</v>
      </c>
    </row>
    <row r="2606" spans="1:6" x14ac:dyDescent="0.2">
      <c r="A2606" s="7" t="s">
        <v>303</v>
      </c>
      <c r="B2606">
        <v>80517</v>
      </c>
      <c r="C2606">
        <v>4</v>
      </c>
      <c r="D2606">
        <v>1</v>
      </c>
      <c r="E2606" s="7" t="s">
        <v>127</v>
      </c>
      <c r="F2606" s="7" t="s">
        <v>115</v>
      </c>
    </row>
    <row r="2607" spans="1:6" x14ac:dyDescent="0.2">
      <c r="A2607" s="7" t="s">
        <v>303</v>
      </c>
      <c r="B2607">
        <v>80517</v>
      </c>
      <c r="C2607">
        <v>5</v>
      </c>
      <c r="D2607">
        <v>1</v>
      </c>
      <c r="E2607" s="7" t="s">
        <v>127</v>
      </c>
      <c r="F2607" s="7" t="s">
        <v>115</v>
      </c>
    </row>
    <row r="2608" spans="1:6" x14ac:dyDescent="0.2">
      <c r="A2608" s="7" t="s">
        <v>303</v>
      </c>
      <c r="B2608">
        <v>80517</v>
      </c>
      <c r="C2608">
        <v>6</v>
      </c>
      <c r="D2608">
        <v>1</v>
      </c>
      <c r="E2608" s="7" t="s">
        <v>200</v>
      </c>
      <c r="F2608" s="7" t="s">
        <v>115</v>
      </c>
    </row>
    <row r="2609" spans="1:6" x14ac:dyDescent="0.2">
      <c r="A2609" s="7" t="s">
        <v>303</v>
      </c>
      <c r="B2609">
        <v>80517</v>
      </c>
      <c r="C2609">
        <v>7</v>
      </c>
      <c r="D2609">
        <v>2</v>
      </c>
      <c r="E2609" s="7" t="s">
        <v>127</v>
      </c>
      <c r="F2609" s="7">
        <v>22.6</v>
      </c>
    </row>
    <row r="2610" spans="1:6" x14ac:dyDescent="0.2">
      <c r="A2610" s="7" t="s">
        <v>303</v>
      </c>
      <c r="B2610">
        <v>80517</v>
      </c>
      <c r="C2610">
        <v>8</v>
      </c>
      <c r="D2610">
        <v>2</v>
      </c>
      <c r="E2610" s="7" t="s">
        <v>127</v>
      </c>
      <c r="F2610">
        <v>11</v>
      </c>
    </row>
    <row r="2611" spans="1:6" x14ac:dyDescent="0.2">
      <c r="A2611" s="7" t="s">
        <v>303</v>
      </c>
      <c r="B2611">
        <v>80517</v>
      </c>
      <c r="C2611">
        <v>9</v>
      </c>
      <c r="D2611">
        <v>2</v>
      </c>
      <c r="E2611" s="7" t="s">
        <v>127</v>
      </c>
      <c r="F2611">
        <v>8</v>
      </c>
    </row>
    <row r="2612" spans="1:6" x14ac:dyDescent="0.2">
      <c r="A2612" s="7" t="s">
        <v>303</v>
      </c>
      <c r="B2612">
        <v>80517</v>
      </c>
      <c r="C2612">
        <v>10</v>
      </c>
      <c r="D2612">
        <v>2</v>
      </c>
      <c r="E2612" s="7" t="s">
        <v>200</v>
      </c>
      <c r="F2612" s="7" t="s">
        <v>115</v>
      </c>
    </row>
    <row r="2613" spans="1:6" x14ac:dyDescent="0.2">
      <c r="A2613" s="7" t="s">
        <v>303</v>
      </c>
      <c r="B2613">
        <v>80517</v>
      </c>
      <c r="C2613">
        <v>11</v>
      </c>
      <c r="D2613">
        <v>3</v>
      </c>
      <c r="E2613" s="7" t="s">
        <v>127</v>
      </c>
      <c r="F2613" s="7" t="s">
        <v>115</v>
      </c>
    </row>
    <row r="2614" spans="1:6" x14ac:dyDescent="0.2">
      <c r="A2614" s="7" t="s">
        <v>303</v>
      </c>
      <c r="B2614">
        <v>80517</v>
      </c>
      <c r="C2614">
        <v>12</v>
      </c>
      <c r="D2614">
        <v>3</v>
      </c>
      <c r="E2614" s="7" t="s">
        <v>127</v>
      </c>
      <c r="F2614" s="7">
        <v>45</v>
      </c>
    </row>
    <row r="2615" spans="1:6" x14ac:dyDescent="0.2">
      <c r="A2615" s="7" t="s">
        <v>303</v>
      </c>
      <c r="B2615">
        <v>80517</v>
      </c>
      <c r="C2615">
        <v>13</v>
      </c>
      <c r="D2615">
        <v>3</v>
      </c>
      <c r="E2615" s="7" t="s">
        <v>127</v>
      </c>
      <c r="F2615" s="7">
        <v>2.8</v>
      </c>
    </row>
    <row r="2616" spans="1:6" x14ac:dyDescent="0.2">
      <c r="A2616" s="7" t="s">
        <v>303</v>
      </c>
      <c r="B2616">
        <v>80517</v>
      </c>
      <c r="C2616">
        <v>14</v>
      </c>
      <c r="D2616">
        <v>3</v>
      </c>
      <c r="E2616" s="7" t="s">
        <v>200</v>
      </c>
      <c r="F2616" s="7" t="s">
        <v>115</v>
      </c>
    </row>
    <row r="2617" spans="1:6" x14ac:dyDescent="0.2">
      <c r="A2617" s="7" t="s">
        <v>303</v>
      </c>
      <c r="B2617">
        <v>80517</v>
      </c>
      <c r="C2617">
        <v>15</v>
      </c>
      <c r="D2617">
        <v>4</v>
      </c>
      <c r="E2617" s="7" t="s">
        <v>127</v>
      </c>
      <c r="F2617" s="7" t="s">
        <v>115</v>
      </c>
    </row>
    <row r="2618" spans="1:6" x14ac:dyDescent="0.2">
      <c r="A2618" s="7" t="s">
        <v>303</v>
      </c>
      <c r="B2618">
        <v>80517</v>
      </c>
      <c r="C2618">
        <v>16</v>
      </c>
      <c r="D2618">
        <v>4</v>
      </c>
      <c r="E2618" s="7" t="s">
        <v>127</v>
      </c>
      <c r="F2618" s="7">
        <v>2.8</v>
      </c>
    </row>
    <row r="2619" spans="1:6" x14ac:dyDescent="0.2">
      <c r="A2619" s="7" t="s">
        <v>303</v>
      </c>
      <c r="B2619">
        <v>80517</v>
      </c>
      <c r="C2619">
        <v>17</v>
      </c>
      <c r="D2619">
        <v>4</v>
      </c>
      <c r="E2619" s="7" t="s">
        <v>125</v>
      </c>
      <c r="F2619" s="7">
        <v>8</v>
      </c>
    </row>
    <row r="2620" spans="1:6" x14ac:dyDescent="0.2">
      <c r="A2620" s="7" t="s">
        <v>303</v>
      </c>
      <c r="B2620">
        <v>80517</v>
      </c>
      <c r="C2620">
        <v>18</v>
      </c>
      <c r="D2620">
        <v>4</v>
      </c>
      <c r="E2620" s="7" t="s">
        <v>125</v>
      </c>
      <c r="F2620" s="7">
        <v>45</v>
      </c>
    </row>
    <row r="2621" spans="1:6" x14ac:dyDescent="0.2">
      <c r="A2621" s="7" t="s">
        <v>303</v>
      </c>
      <c r="B2621">
        <v>80517</v>
      </c>
      <c r="C2621">
        <v>19</v>
      </c>
      <c r="D2621">
        <v>4</v>
      </c>
      <c r="E2621" s="7" t="s">
        <v>200</v>
      </c>
      <c r="F2621" s="7" t="s">
        <v>115</v>
      </c>
    </row>
    <row r="2622" spans="1:6" x14ac:dyDescent="0.2">
      <c r="A2622" s="7" t="s">
        <v>303</v>
      </c>
      <c r="B2622">
        <v>80517</v>
      </c>
      <c r="C2622">
        <v>20</v>
      </c>
      <c r="D2622">
        <v>5</v>
      </c>
      <c r="E2622" s="7" t="s">
        <v>125</v>
      </c>
      <c r="F2622" s="7">
        <v>8</v>
      </c>
    </row>
    <row r="2623" spans="1:6" x14ac:dyDescent="0.2">
      <c r="A2623" s="7" t="s">
        <v>303</v>
      </c>
      <c r="B2623">
        <v>80517</v>
      </c>
      <c r="C2623">
        <v>21</v>
      </c>
      <c r="D2623">
        <v>5</v>
      </c>
      <c r="E2623" s="7" t="s">
        <v>125</v>
      </c>
      <c r="F2623" s="7" t="s">
        <v>115</v>
      </c>
    </row>
    <row r="2624" spans="1:6" x14ac:dyDescent="0.2">
      <c r="A2624" s="7" t="s">
        <v>303</v>
      </c>
      <c r="B2624">
        <v>80517</v>
      </c>
      <c r="C2624">
        <v>22</v>
      </c>
      <c r="D2624">
        <v>5</v>
      </c>
      <c r="E2624" s="7" t="s">
        <v>125</v>
      </c>
      <c r="F2624" s="7">
        <v>64</v>
      </c>
    </row>
    <row r="2625" spans="1:6" x14ac:dyDescent="0.2">
      <c r="A2625" s="7" t="s">
        <v>303</v>
      </c>
      <c r="B2625">
        <v>80517</v>
      </c>
      <c r="C2625">
        <v>23</v>
      </c>
      <c r="D2625">
        <v>5</v>
      </c>
      <c r="E2625" s="7" t="s">
        <v>127</v>
      </c>
      <c r="F2625" s="7">
        <v>90</v>
      </c>
    </row>
    <row r="2626" spans="1:6" x14ac:dyDescent="0.2">
      <c r="A2626" s="7" t="s">
        <v>303</v>
      </c>
      <c r="B2626">
        <v>80517</v>
      </c>
      <c r="C2626">
        <v>24</v>
      </c>
      <c r="D2626">
        <v>5</v>
      </c>
      <c r="E2626" s="7" t="s">
        <v>200</v>
      </c>
      <c r="F2626" s="7" t="s">
        <v>115</v>
      </c>
    </row>
    <row r="2627" spans="1:6" x14ac:dyDescent="0.2">
      <c r="A2627" s="7" t="s">
        <v>303</v>
      </c>
      <c r="B2627">
        <v>80517</v>
      </c>
      <c r="C2627">
        <v>25</v>
      </c>
      <c r="D2627">
        <v>6</v>
      </c>
      <c r="E2627" s="7" t="s">
        <v>127</v>
      </c>
      <c r="F2627" s="7">
        <v>128</v>
      </c>
    </row>
    <row r="2628" spans="1:6" x14ac:dyDescent="0.2">
      <c r="A2628" s="7" t="s">
        <v>303</v>
      </c>
      <c r="B2628">
        <v>80517</v>
      </c>
      <c r="C2628">
        <v>26</v>
      </c>
      <c r="D2628">
        <v>6</v>
      </c>
      <c r="E2628" s="7" t="s">
        <v>127</v>
      </c>
      <c r="F2628" s="7">
        <v>64</v>
      </c>
    </row>
    <row r="2629" spans="1:6" x14ac:dyDescent="0.2">
      <c r="A2629" s="7" t="s">
        <v>303</v>
      </c>
      <c r="B2629">
        <v>80517</v>
      </c>
      <c r="C2629">
        <v>27</v>
      </c>
      <c r="D2629">
        <v>6</v>
      </c>
      <c r="E2629" s="7" t="s">
        <v>125</v>
      </c>
      <c r="F2629" s="7" t="s">
        <v>115</v>
      </c>
    </row>
    <row r="2630" spans="1:6" x14ac:dyDescent="0.2">
      <c r="A2630" s="7" t="s">
        <v>303</v>
      </c>
      <c r="B2630">
        <v>80517</v>
      </c>
      <c r="C2630">
        <v>28</v>
      </c>
      <c r="D2630">
        <v>6</v>
      </c>
      <c r="E2630" s="7" t="s">
        <v>125</v>
      </c>
      <c r="F2630" s="7">
        <v>11</v>
      </c>
    </row>
    <row r="2631" spans="1:6" x14ac:dyDescent="0.2">
      <c r="A2631" s="7" t="s">
        <v>303</v>
      </c>
      <c r="B2631">
        <v>80517</v>
      </c>
      <c r="C2631">
        <v>29</v>
      </c>
      <c r="D2631">
        <v>6</v>
      </c>
      <c r="E2631" s="7" t="s">
        <v>200</v>
      </c>
      <c r="F2631" s="7" t="s">
        <v>115</v>
      </c>
    </row>
    <row r="2632" spans="1:6" x14ac:dyDescent="0.2">
      <c r="A2632" s="7" t="s">
        <v>303</v>
      </c>
      <c r="B2632">
        <v>80517</v>
      </c>
      <c r="C2632">
        <v>30</v>
      </c>
      <c r="D2632">
        <v>7</v>
      </c>
      <c r="E2632" s="7" t="s">
        <v>125</v>
      </c>
      <c r="F2632" s="7" t="s">
        <v>115</v>
      </c>
    </row>
    <row r="2633" spans="1:6" x14ac:dyDescent="0.2">
      <c r="A2633" s="7" t="s">
        <v>303</v>
      </c>
      <c r="B2633">
        <v>80517</v>
      </c>
      <c r="C2633">
        <v>31</v>
      </c>
      <c r="D2633">
        <v>7</v>
      </c>
      <c r="E2633" s="7" t="s">
        <v>125</v>
      </c>
      <c r="F2633">
        <v>5.6</v>
      </c>
    </row>
    <row r="2634" spans="1:6" x14ac:dyDescent="0.2">
      <c r="A2634" s="7" t="s">
        <v>303</v>
      </c>
      <c r="B2634">
        <v>80517</v>
      </c>
      <c r="C2634">
        <v>32</v>
      </c>
      <c r="D2634">
        <v>7</v>
      </c>
      <c r="E2634" s="7" t="s">
        <v>127</v>
      </c>
      <c r="F2634">
        <v>45</v>
      </c>
    </row>
    <row r="2635" spans="1:6" x14ac:dyDescent="0.2">
      <c r="A2635" s="7" t="s">
        <v>303</v>
      </c>
      <c r="B2635">
        <v>80517</v>
      </c>
      <c r="C2635">
        <v>33</v>
      </c>
      <c r="D2635">
        <v>7</v>
      </c>
      <c r="E2635" s="7" t="s">
        <v>127</v>
      </c>
      <c r="F2635">
        <v>11</v>
      </c>
    </row>
    <row r="2636" spans="1:6" x14ac:dyDescent="0.2">
      <c r="A2636" s="7" t="s">
        <v>303</v>
      </c>
      <c r="B2636">
        <v>80517</v>
      </c>
      <c r="C2636">
        <v>34</v>
      </c>
      <c r="D2636">
        <v>7</v>
      </c>
      <c r="E2636" s="7" t="s">
        <v>200</v>
      </c>
      <c r="F2636" s="7" t="s">
        <v>115</v>
      </c>
    </row>
    <row r="2637" spans="1:6" x14ac:dyDescent="0.2">
      <c r="A2637" s="7" t="s">
        <v>303</v>
      </c>
      <c r="B2637">
        <v>80517</v>
      </c>
      <c r="C2637">
        <v>35</v>
      </c>
      <c r="D2637">
        <v>8</v>
      </c>
      <c r="E2637" s="7" t="s">
        <v>127</v>
      </c>
      <c r="F2637" s="7">
        <v>32</v>
      </c>
    </row>
    <row r="2638" spans="1:6" x14ac:dyDescent="0.2">
      <c r="A2638" s="7" t="s">
        <v>303</v>
      </c>
      <c r="B2638">
        <v>80517</v>
      </c>
      <c r="C2638">
        <v>36</v>
      </c>
      <c r="D2638">
        <v>8</v>
      </c>
      <c r="E2638" s="7" t="s">
        <v>127</v>
      </c>
      <c r="F2638" s="7">
        <v>32</v>
      </c>
    </row>
    <row r="2639" spans="1:6" x14ac:dyDescent="0.2">
      <c r="A2639" s="7" t="s">
        <v>303</v>
      </c>
      <c r="B2639">
        <v>80517</v>
      </c>
      <c r="C2639">
        <v>37</v>
      </c>
      <c r="D2639">
        <v>8</v>
      </c>
      <c r="E2639" s="7" t="s">
        <v>130</v>
      </c>
      <c r="F2639" s="7">
        <v>32</v>
      </c>
    </row>
    <row r="2640" spans="1:6" x14ac:dyDescent="0.2">
      <c r="A2640" s="7" t="s">
        <v>303</v>
      </c>
      <c r="B2640">
        <v>80517</v>
      </c>
      <c r="C2640">
        <v>38</v>
      </c>
      <c r="D2640">
        <v>8</v>
      </c>
      <c r="E2640" s="7" t="s">
        <v>125</v>
      </c>
      <c r="F2640" s="7" t="s">
        <v>115</v>
      </c>
    </row>
    <row r="2641" spans="1:6" x14ac:dyDescent="0.2">
      <c r="A2641" s="7" t="s">
        <v>303</v>
      </c>
      <c r="B2641">
        <v>80517</v>
      </c>
      <c r="C2641">
        <v>39</v>
      </c>
      <c r="D2641">
        <v>9</v>
      </c>
      <c r="E2641" s="7" t="s">
        <v>125</v>
      </c>
      <c r="F2641" s="7" t="s">
        <v>115</v>
      </c>
    </row>
    <row r="2642" spans="1:6" x14ac:dyDescent="0.2">
      <c r="A2642" s="7" t="s">
        <v>303</v>
      </c>
      <c r="B2642">
        <v>80517</v>
      </c>
      <c r="C2642">
        <v>40</v>
      </c>
      <c r="D2642">
        <v>9</v>
      </c>
      <c r="E2642" s="7" t="s">
        <v>127</v>
      </c>
      <c r="F2642" s="7">
        <v>64</v>
      </c>
    </row>
    <row r="2643" spans="1:6" x14ac:dyDescent="0.2">
      <c r="A2643" s="7" t="s">
        <v>303</v>
      </c>
      <c r="B2643">
        <v>80517</v>
      </c>
      <c r="C2643">
        <v>41</v>
      </c>
      <c r="D2643">
        <v>9</v>
      </c>
      <c r="E2643" s="7" t="s">
        <v>127</v>
      </c>
      <c r="F2643" s="7" t="s">
        <v>115</v>
      </c>
    </row>
    <row r="2644" spans="1:6" x14ac:dyDescent="0.2">
      <c r="A2644" s="7" t="s">
        <v>303</v>
      </c>
      <c r="B2644">
        <v>80517</v>
      </c>
      <c r="C2644">
        <v>42</v>
      </c>
      <c r="D2644">
        <v>9</v>
      </c>
      <c r="E2644" s="7" t="s">
        <v>125</v>
      </c>
      <c r="F2644" s="7" t="s">
        <v>115</v>
      </c>
    </row>
    <row r="2645" spans="1:6" x14ac:dyDescent="0.2">
      <c r="A2645" s="7" t="s">
        <v>303</v>
      </c>
      <c r="B2645">
        <v>80517</v>
      </c>
      <c r="C2645">
        <v>43</v>
      </c>
      <c r="D2645">
        <v>10</v>
      </c>
      <c r="E2645" s="7" t="s">
        <v>127</v>
      </c>
      <c r="F2645">
        <v>22.6</v>
      </c>
    </row>
    <row r="2646" spans="1:6" x14ac:dyDescent="0.2">
      <c r="A2646" s="7" t="s">
        <v>303</v>
      </c>
      <c r="B2646">
        <v>80517</v>
      </c>
      <c r="C2646">
        <v>44</v>
      </c>
      <c r="D2646">
        <v>10</v>
      </c>
      <c r="E2646" s="7" t="s">
        <v>127</v>
      </c>
      <c r="F2646" s="7">
        <v>2</v>
      </c>
    </row>
    <row r="2647" spans="1:6" x14ac:dyDescent="0.2">
      <c r="A2647" s="7" t="s">
        <v>303</v>
      </c>
      <c r="B2647">
        <v>80517</v>
      </c>
      <c r="C2647">
        <v>45</v>
      </c>
      <c r="D2647">
        <v>10</v>
      </c>
      <c r="E2647" s="7" t="s">
        <v>125</v>
      </c>
      <c r="F2647" s="7" t="s">
        <v>115</v>
      </c>
    </row>
    <row r="2648" spans="1:6" x14ac:dyDescent="0.2">
      <c r="A2648" s="7" t="s">
        <v>303</v>
      </c>
      <c r="B2648">
        <v>80517</v>
      </c>
      <c r="C2648">
        <v>46</v>
      </c>
      <c r="D2648">
        <v>10</v>
      </c>
      <c r="E2648" s="7" t="s">
        <v>200</v>
      </c>
      <c r="F2648" s="7" t="s">
        <v>115</v>
      </c>
    </row>
    <row r="2649" spans="1:6" x14ac:dyDescent="0.2">
      <c r="A2649" s="7" t="s">
        <v>303</v>
      </c>
      <c r="B2649">
        <v>80517</v>
      </c>
      <c r="C2649">
        <v>47</v>
      </c>
      <c r="D2649">
        <v>11</v>
      </c>
      <c r="E2649" s="7" t="s">
        <v>200</v>
      </c>
      <c r="F2649">
        <v>180</v>
      </c>
    </row>
    <row r="2650" spans="1:6" x14ac:dyDescent="0.2">
      <c r="A2650" s="7" t="s">
        <v>303</v>
      </c>
      <c r="B2650">
        <v>80517</v>
      </c>
      <c r="C2650">
        <v>48</v>
      </c>
      <c r="D2650">
        <v>11</v>
      </c>
      <c r="E2650" s="7" t="s">
        <v>127</v>
      </c>
      <c r="F2650" s="7">
        <v>45</v>
      </c>
    </row>
    <row r="2651" spans="1:6" x14ac:dyDescent="0.2">
      <c r="A2651" s="7" t="s">
        <v>303</v>
      </c>
      <c r="B2651">
        <v>80517</v>
      </c>
      <c r="C2651">
        <v>49</v>
      </c>
      <c r="D2651">
        <v>11</v>
      </c>
      <c r="E2651" s="7" t="s">
        <v>127</v>
      </c>
      <c r="F2651">
        <v>4</v>
      </c>
    </row>
    <row r="2652" spans="1:6" x14ac:dyDescent="0.2">
      <c r="A2652" s="7" t="s">
        <v>303</v>
      </c>
      <c r="B2652">
        <v>80517</v>
      </c>
      <c r="C2652">
        <v>50</v>
      </c>
      <c r="D2652">
        <v>11</v>
      </c>
      <c r="E2652" s="7" t="s">
        <v>200</v>
      </c>
      <c r="F2652" s="7" t="s">
        <v>115</v>
      </c>
    </row>
    <row r="2653" spans="1:6" x14ac:dyDescent="0.2">
      <c r="A2653" s="7" t="s">
        <v>303</v>
      </c>
      <c r="B2653">
        <v>80517</v>
      </c>
      <c r="C2653">
        <v>51</v>
      </c>
      <c r="D2653">
        <v>12</v>
      </c>
      <c r="E2653" s="7" t="s">
        <v>127</v>
      </c>
      <c r="F2653" s="7">
        <v>32</v>
      </c>
    </row>
    <row r="2654" spans="1:6" x14ac:dyDescent="0.2">
      <c r="A2654" s="7" t="s">
        <v>303</v>
      </c>
      <c r="B2654">
        <v>80517</v>
      </c>
      <c r="C2654">
        <v>52</v>
      </c>
      <c r="D2654">
        <v>12</v>
      </c>
      <c r="E2654" s="7" t="s">
        <v>127</v>
      </c>
      <c r="F2654" s="7">
        <v>45</v>
      </c>
    </row>
    <row r="2655" spans="1:6" x14ac:dyDescent="0.2">
      <c r="A2655" s="7" t="s">
        <v>303</v>
      </c>
      <c r="B2655">
        <v>80517</v>
      </c>
      <c r="C2655">
        <v>53</v>
      </c>
      <c r="D2655">
        <v>12</v>
      </c>
      <c r="E2655" s="7" t="s">
        <v>127</v>
      </c>
      <c r="F2655" s="7" t="s">
        <v>115</v>
      </c>
    </row>
    <row r="2656" spans="1:6" x14ac:dyDescent="0.2">
      <c r="A2656" s="7" t="s">
        <v>303</v>
      </c>
      <c r="B2656">
        <v>80517</v>
      </c>
      <c r="C2656">
        <v>54</v>
      </c>
      <c r="D2656">
        <v>12</v>
      </c>
      <c r="E2656" s="7" t="s">
        <v>200</v>
      </c>
      <c r="F2656" s="7" t="s">
        <v>115</v>
      </c>
    </row>
    <row r="2657" spans="1:6" x14ac:dyDescent="0.2">
      <c r="A2657" s="7" t="s">
        <v>303</v>
      </c>
      <c r="B2657">
        <v>80517</v>
      </c>
      <c r="C2657">
        <v>55</v>
      </c>
      <c r="D2657">
        <v>13</v>
      </c>
      <c r="E2657" s="7" t="s">
        <v>127</v>
      </c>
      <c r="F2657">
        <v>2</v>
      </c>
    </row>
    <row r="2658" spans="1:6" x14ac:dyDescent="0.2">
      <c r="A2658" s="7" t="s">
        <v>303</v>
      </c>
      <c r="B2658">
        <v>80517</v>
      </c>
      <c r="C2658">
        <v>56</v>
      </c>
      <c r="D2658">
        <v>13</v>
      </c>
      <c r="E2658" s="7" t="s">
        <v>127</v>
      </c>
      <c r="F2658" s="7">
        <v>32</v>
      </c>
    </row>
    <row r="2659" spans="1:6" x14ac:dyDescent="0.2">
      <c r="A2659" s="7" t="s">
        <v>303</v>
      </c>
      <c r="B2659">
        <v>80517</v>
      </c>
      <c r="C2659">
        <v>57</v>
      </c>
      <c r="D2659">
        <v>13</v>
      </c>
      <c r="E2659" s="7" t="s">
        <v>125</v>
      </c>
      <c r="F2659" s="7">
        <v>45</v>
      </c>
    </row>
    <row r="2660" spans="1:6" x14ac:dyDescent="0.2">
      <c r="A2660" s="7" t="s">
        <v>303</v>
      </c>
      <c r="B2660">
        <v>80517</v>
      </c>
      <c r="C2660">
        <v>58</v>
      </c>
      <c r="D2660">
        <v>13</v>
      </c>
      <c r="E2660" s="7" t="s">
        <v>200</v>
      </c>
      <c r="F2660" s="7" t="s">
        <v>115</v>
      </c>
    </row>
    <row r="2661" spans="1:6" x14ac:dyDescent="0.2">
      <c r="A2661" s="7" t="s">
        <v>303</v>
      </c>
      <c r="B2661">
        <v>80517</v>
      </c>
      <c r="C2661">
        <v>59</v>
      </c>
      <c r="D2661">
        <v>14</v>
      </c>
      <c r="E2661" s="7" t="s">
        <v>125</v>
      </c>
      <c r="F2661" s="7">
        <v>4</v>
      </c>
    </row>
    <row r="2662" spans="1:6" x14ac:dyDescent="0.2">
      <c r="A2662" s="7" t="s">
        <v>303</v>
      </c>
      <c r="B2662">
        <v>80517</v>
      </c>
      <c r="C2662">
        <v>60</v>
      </c>
      <c r="D2662">
        <v>14</v>
      </c>
      <c r="E2662" s="7" t="s">
        <v>127</v>
      </c>
      <c r="F2662" s="7">
        <v>90</v>
      </c>
    </row>
    <row r="2663" spans="1:6" x14ac:dyDescent="0.2">
      <c r="A2663" s="7" t="s">
        <v>303</v>
      </c>
      <c r="B2663">
        <v>80517</v>
      </c>
      <c r="C2663">
        <v>61</v>
      </c>
      <c r="D2663">
        <v>14</v>
      </c>
      <c r="E2663" s="7" t="s">
        <v>127</v>
      </c>
      <c r="F2663" s="7">
        <v>64</v>
      </c>
    </row>
    <row r="2664" spans="1:6" x14ac:dyDescent="0.2">
      <c r="A2664" s="7" t="s">
        <v>303</v>
      </c>
      <c r="B2664">
        <v>80517</v>
      </c>
      <c r="C2664">
        <v>62</v>
      </c>
      <c r="D2664">
        <v>14</v>
      </c>
      <c r="E2664" s="7" t="s">
        <v>127</v>
      </c>
      <c r="F2664" s="7">
        <v>11</v>
      </c>
    </row>
    <row r="2665" spans="1:6" x14ac:dyDescent="0.2">
      <c r="A2665" s="7" t="s">
        <v>303</v>
      </c>
      <c r="B2665">
        <v>80517</v>
      </c>
      <c r="C2665">
        <v>63</v>
      </c>
      <c r="D2665">
        <v>14</v>
      </c>
      <c r="E2665" s="7" t="s">
        <v>200</v>
      </c>
      <c r="F2665" s="7">
        <v>45</v>
      </c>
    </row>
    <row r="2666" spans="1:6" x14ac:dyDescent="0.2">
      <c r="A2666" s="7" t="s">
        <v>303</v>
      </c>
      <c r="B2666">
        <v>80517</v>
      </c>
      <c r="C2666">
        <v>64</v>
      </c>
      <c r="D2666">
        <v>15</v>
      </c>
      <c r="E2666" s="7" t="s">
        <v>200</v>
      </c>
      <c r="F2666" s="7">
        <v>90</v>
      </c>
    </row>
    <row r="2667" spans="1:6" x14ac:dyDescent="0.2">
      <c r="A2667" s="7" t="s">
        <v>303</v>
      </c>
      <c r="B2667">
        <v>80517</v>
      </c>
      <c r="C2667">
        <v>65</v>
      </c>
      <c r="D2667">
        <v>15</v>
      </c>
      <c r="E2667" s="7" t="s">
        <v>200</v>
      </c>
      <c r="F2667" s="7">
        <v>2.8</v>
      </c>
    </row>
    <row r="2668" spans="1:6" x14ac:dyDescent="0.2">
      <c r="A2668" s="7" t="s">
        <v>303</v>
      </c>
      <c r="B2668">
        <v>80517</v>
      </c>
      <c r="C2668">
        <v>66</v>
      </c>
      <c r="D2668">
        <v>15</v>
      </c>
      <c r="E2668" s="7" t="s">
        <v>200</v>
      </c>
      <c r="F2668" s="7">
        <v>32</v>
      </c>
    </row>
    <row r="2669" spans="1:6" x14ac:dyDescent="0.2">
      <c r="A2669" s="7" t="s">
        <v>303</v>
      </c>
      <c r="B2669">
        <v>80517</v>
      </c>
      <c r="C2669">
        <v>67</v>
      </c>
      <c r="D2669">
        <v>15</v>
      </c>
      <c r="E2669" s="7" t="s">
        <v>200</v>
      </c>
      <c r="F2669" s="7">
        <v>90</v>
      </c>
    </row>
    <row r="2670" spans="1:6" x14ac:dyDescent="0.2">
      <c r="A2670" s="7" t="s">
        <v>303</v>
      </c>
      <c r="B2670">
        <v>80517</v>
      </c>
      <c r="C2670">
        <v>68</v>
      </c>
      <c r="D2670">
        <v>15</v>
      </c>
      <c r="E2670" s="7" t="s">
        <v>200</v>
      </c>
      <c r="F2670" s="7">
        <v>64</v>
      </c>
    </row>
    <row r="2671" spans="1:6" x14ac:dyDescent="0.2">
      <c r="A2671" s="7" t="s">
        <v>303</v>
      </c>
      <c r="B2671">
        <v>80517</v>
      </c>
      <c r="C2671">
        <v>69</v>
      </c>
      <c r="D2671">
        <v>16</v>
      </c>
      <c r="E2671" s="7" t="s">
        <v>200</v>
      </c>
      <c r="F2671" s="7">
        <v>22.6</v>
      </c>
    </row>
    <row r="2672" spans="1:6" x14ac:dyDescent="0.2">
      <c r="A2672" s="7" t="s">
        <v>303</v>
      </c>
      <c r="B2672">
        <v>80517</v>
      </c>
      <c r="C2672">
        <v>70</v>
      </c>
      <c r="D2672">
        <v>16</v>
      </c>
      <c r="E2672" s="7" t="s">
        <v>127</v>
      </c>
      <c r="F2672" s="7">
        <v>8</v>
      </c>
    </row>
    <row r="2673" spans="1:6" x14ac:dyDescent="0.2">
      <c r="A2673" s="7" t="s">
        <v>303</v>
      </c>
      <c r="B2673">
        <v>80517</v>
      </c>
      <c r="C2673">
        <v>71</v>
      </c>
      <c r="D2673">
        <v>16</v>
      </c>
      <c r="E2673" s="7" t="s">
        <v>200</v>
      </c>
      <c r="F2673" s="7">
        <v>64</v>
      </c>
    </row>
    <row r="2674" spans="1:6" x14ac:dyDescent="0.2">
      <c r="A2674" s="7" t="s">
        <v>303</v>
      </c>
      <c r="B2674">
        <v>80517</v>
      </c>
      <c r="C2674">
        <v>72</v>
      </c>
      <c r="D2674">
        <v>17</v>
      </c>
      <c r="E2674" s="7" t="s">
        <v>200</v>
      </c>
      <c r="F2674" s="7">
        <v>32</v>
      </c>
    </row>
    <row r="2675" spans="1:6" x14ac:dyDescent="0.2">
      <c r="A2675" s="7" t="s">
        <v>303</v>
      </c>
      <c r="B2675">
        <v>80517</v>
      </c>
      <c r="C2675">
        <v>73</v>
      </c>
      <c r="D2675">
        <v>17</v>
      </c>
      <c r="E2675" s="7" t="s">
        <v>200</v>
      </c>
      <c r="F2675" s="7" t="s">
        <v>115</v>
      </c>
    </row>
    <row r="2676" spans="1:6" x14ac:dyDescent="0.2">
      <c r="A2676" s="7" t="s">
        <v>303</v>
      </c>
      <c r="B2676">
        <v>80517</v>
      </c>
      <c r="C2676">
        <v>74</v>
      </c>
      <c r="D2676">
        <v>17</v>
      </c>
      <c r="E2676" s="7" t="s">
        <v>127</v>
      </c>
      <c r="F2676" s="7" t="s">
        <v>115</v>
      </c>
    </row>
    <row r="2677" spans="1:6" x14ac:dyDescent="0.2">
      <c r="A2677" s="7" t="s">
        <v>303</v>
      </c>
      <c r="B2677">
        <v>80517</v>
      </c>
      <c r="C2677">
        <v>75</v>
      </c>
      <c r="D2677">
        <v>17</v>
      </c>
      <c r="E2677" s="7" t="s">
        <v>200</v>
      </c>
      <c r="F2677" s="7">
        <v>128</v>
      </c>
    </row>
    <row r="2678" spans="1:6" x14ac:dyDescent="0.2">
      <c r="A2678" s="7" t="s">
        <v>303</v>
      </c>
      <c r="B2678">
        <v>80517</v>
      </c>
      <c r="C2678">
        <v>76</v>
      </c>
      <c r="D2678">
        <v>17</v>
      </c>
      <c r="E2678" s="7" t="s">
        <v>200</v>
      </c>
      <c r="F2678" s="7" t="s">
        <v>115</v>
      </c>
    </row>
    <row r="2679" spans="1:6" x14ac:dyDescent="0.2">
      <c r="A2679" s="7" t="s">
        <v>303</v>
      </c>
      <c r="B2679">
        <v>80517</v>
      </c>
      <c r="C2679">
        <v>77</v>
      </c>
      <c r="D2679">
        <v>18</v>
      </c>
      <c r="E2679" s="7" t="s">
        <v>200</v>
      </c>
      <c r="F2679" s="7">
        <v>64</v>
      </c>
    </row>
    <row r="2680" spans="1:6" x14ac:dyDescent="0.2">
      <c r="A2680" s="7" t="s">
        <v>303</v>
      </c>
      <c r="B2680">
        <v>80517</v>
      </c>
      <c r="C2680">
        <v>78</v>
      </c>
      <c r="D2680">
        <v>18</v>
      </c>
      <c r="E2680" s="7" t="s">
        <v>200</v>
      </c>
      <c r="F2680">
        <v>32</v>
      </c>
    </row>
    <row r="2681" spans="1:6" x14ac:dyDescent="0.2">
      <c r="A2681" s="7" t="s">
        <v>303</v>
      </c>
      <c r="B2681">
        <v>80517</v>
      </c>
      <c r="C2681">
        <v>79</v>
      </c>
      <c r="E2681" s="7" t="s">
        <v>127</v>
      </c>
      <c r="F2681">
        <v>5.6</v>
      </c>
    </row>
    <row r="2682" spans="1:6" x14ac:dyDescent="0.2">
      <c r="A2682" s="7" t="s">
        <v>303</v>
      </c>
      <c r="B2682">
        <v>80517</v>
      </c>
      <c r="C2682">
        <v>80</v>
      </c>
      <c r="E2682" s="7" t="s">
        <v>200</v>
      </c>
      <c r="F2682">
        <v>45</v>
      </c>
    </row>
    <row r="2683" spans="1:6" x14ac:dyDescent="0.2">
      <c r="A2683" s="7" t="s">
        <v>303</v>
      </c>
      <c r="B2683">
        <v>80517</v>
      </c>
      <c r="C2683">
        <v>81</v>
      </c>
      <c r="E2683" s="7" t="s">
        <v>200</v>
      </c>
      <c r="F2683">
        <v>22.6</v>
      </c>
    </row>
    <row r="2684" spans="1:6" x14ac:dyDescent="0.2">
      <c r="A2684" s="7" t="s">
        <v>303</v>
      </c>
      <c r="B2684">
        <v>80517</v>
      </c>
      <c r="C2684">
        <v>82</v>
      </c>
      <c r="D2684">
        <v>19</v>
      </c>
      <c r="E2684" s="7" t="s">
        <v>200</v>
      </c>
      <c r="F2684">
        <v>64</v>
      </c>
    </row>
    <row r="2685" spans="1:6" x14ac:dyDescent="0.2">
      <c r="A2685" s="7" t="s">
        <v>303</v>
      </c>
      <c r="B2685">
        <v>80517</v>
      </c>
      <c r="C2685">
        <v>83</v>
      </c>
      <c r="E2685" s="7" t="s">
        <v>200</v>
      </c>
      <c r="F2685">
        <v>32</v>
      </c>
    </row>
    <row r="2686" spans="1:6" x14ac:dyDescent="0.2">
      <c r="A2686" s="7" t="s">
        <v>303</v>
      </c>
      <c r="B2686">
        <v>80517</v>
      </c>
      <c r="C2686">
        <v>84</v>
      </c>
      <c r="E2686" s="7" t="s">
        <v>127</v>
      </c>
      <c r="F2686">
        <v>22.6</v>
      </c>
    </row>
    <row r="2687" spans="1:6" x14ac:dyDescent="0.2">
      <c r="A2687" s="7" t="s">
        <v>303</v>
      </c>
      <c r="B2687">
        <v>80517</v>
      </c>
      <c r="C2687">
        <v>85</v>
      </c>
      <c r="E2687" s="7" t="s">
        <v>200</v>
      </c>
      <c r="F2687">
        <v>180</v>
      </c>
    </row>
    <row r="2688" spans="1:6" x14ac:dyDescent="0.2">
      <c r="A2688" s="7" t="s">
        <v>303</v>
      </c>
      <c r="B2688">
        <v>80517</v>
      </c>
      <c r="C2688">
        <v>86</v>
      </c>
      <c r="D2688">
        <v>20</v>
      </c>
      <c r="E2688" s="7" t="s">
        <v>127</v>
      </c>
      <c r="F2688">
        <v>64</v>
      </c>
    </row>
    <row r="2689" spans="1:7" x14ac:dyDescent="0.2">
      <c r="A2689" s="7" t="s">
        <v>303</v>
      </c>
      <c r="B2689">
        <v>80517</v>
      </c>
      <c r="C2689">
        <v>87</v>
      </c>
      <c r="E2689" s="7" t="s">
        <v>200</v>
      </c>
      <c r="F2689">
        <v>45</v>
      </c>
    </row>
    <row r="2690" spans="1:7" x14ac:dyDescent="0.2">
      <c r="A2690" s="7" t="s">
        <v>303</v>
      </c>
      <c r="B2690">
        <v>80517</v>
      </c>
      <c r="C2690">
        <v>88</v>
      </c>
      <c r="E2690" s="7" t="s">
        <v>200</v>
      </c>
      <c r="F2690">
        <v>45</v>
      </c>
    </row>
    <row r="2691" spans="1:7" x14ac:dyDescent="0.2">
      <c r="A2691" s="7" t="s">
        <v>303</v>
      </c>
      <c r="B2691">
        <v>80517</v>
      </c>
      <c r="C2691">
        <v>89</v>
      </c>
      <c r="E2691" s="7" t="s">
        <v>200</v>
      </c>
      <c r="F2691">
        <v>45</v>
      </c>
    </row>
    <row r="2692" spans="1:7" x14ac:dyDescent="0.2">
      <c r="A2692" s="7" t="s">
        <v>303</v>
      </c>
      <c r="B2692">
        <v>80517</v>
      </c>
      <c r="C2692">
        <v>90</v>
      </c>
      <c r="D2692">
        <v>21</v>
      </c>
      <c r="E2692" s="7" t="s">
        <v>200</v>
      </c>
      <c r="F2692" s="7">
        <v>8</v>
      </c>
    </row>
    <row r="2693" spans="1:7" x14ac:dyDescent="0.2">
      <c r="A2693" s="7" t="s">
        <v>303</v>
      </c>
      <c r="B2693">
        <v>80517</v>
      </c>
      <c r="C2693">
        <v>91</v>
      </c>
      <c r="D2693">
        <v>21</v>
      </c>
      <c r="E2693" s="7" t="s">
        <v>130</v>
      </c>
      <c r="F2693" s="7" t="s">
        <v>115</v>
      </c>
    </row>
    <row r="2694" spans="1:7" x14ac:dyDescent="0.2">
      <c r="A2694" s="7" t="s">
        <v>303</v>
      </c>
      <c r="B2694">
        <v>80517</v>
      </c>
      <c r="C2694">
        <v>92</v>
      </c>
      <c r="D2694">
        <v>21</v>
      </c>
      <c r="E2694" s="7" t="s">
        <v>130</v>
      </c>
      <c r="F2694" s="7" t="s">
        <v>115</v>
      </c>
    </row>
    <row r="2695" spans="1:7" x14ac:dyDescent="0.2">
      <c r="A2695" s="7" t="s">
        <v>303</v>
      </c>
      <c r="B2695">
        <v>80517</v>
      </c>
      <c r="C2695">
        <v>93</v>
      </c>
      <c r="D2695">
        <v>21</v>
      </c>
      <c r="E2695" s="7" t="s">
        <v>130</v>
      </c>
      <c r="F2695" s="7">
        <v>180</v>
      </c>
    </row>
    <row r="2696" spans="1:7" x14ac:dyDescent="0.2">
      <c r="A2696" s="7" t="s">
        <v>303</v>
      </c>
      <c r="B2696">
        <v>80517</v>
      </c>
      <c r="C2696">
        <v>94</v>
      </c>
      <c r="D2696">
        <v>21</v>
      </c>
      <c r="E2696" s="7" t="s">
        <v>130</v>
      </c>
      <c r="F2696" s="7" t="s">
        <v>115</v>
      </c>
    </row>
    <row r="2697" spans="1:7" x14ac:dyDescent="0.2">
      <c r="A2697" s="7" t="s">
        <v>303</v>
      </c>
      <c r="B2697">
        <v>80517</v>
      </c>
      <c r="C2697">
        <v>95</v>
      </c>
      <c r="D2697">
        <v>21</v>
      </c>
      <c r="E2697" s="7" t="s">
        <v>130</v>
      </c>
      <c r="F2697" s="7" t="s">
        <v>115</v>
      </c>
    </row>
    <row r="2698" spans="1:7" x14ac:dyDescent="0.2">
      <c r="A2698" s="7" t="s">
        <v>303</v>
      </c>
      <c r="B2698">
        <v>80517</v>
      </c>
      <c r="C2698">
        <v>96</v>
      </c>
      <c r="D2698">
        <v>21</v>
      </c>
      <c r="E2698" s="7" t="s">
        <v>130</v>
      </c>
      <c r="F2698">
        <v>90</v>
      </c>
    </row>
    <row r="2699" spans="1:7" x14ac:dyDescent="0.2">
      <c r="A2699" s="7" t="s">
        <v>303</v>
      </c>
      <c r="B2699">
        <v>80517</v>
      </c>
      <c r="C2699">
        <v>97</v>
      </c>
      <c r="D2699">
        <v>21</v>
      </c>
      <c r="E2699" s="7" t="s">
        <v>130</v>
      </c>
      <c r="F2699">
        <v>90</v>
      </c>
    </row>
    <row r="2700" spans="1:7" x14ac:dyDescent="0.2">
      <c r="A2700" s="7" t="s">
        <v>303</v>
      </c>
      <c r="B2700">
        <v>80517</v>
      </c>
      <c r="C2700">
        <v>98</v>
      </c>
      <c r="D2700">
        <v>22</v>
      </c>
      <c r="E2700" s="7" t="s">
        <v>127</v>
      </c>
      <c r="F2700">
        <v>64</v>
      </c>
    </row>
    <row r="2701" spans="1:7" x14ac:dyDescent="0.2">
      <c r="A2701" s="7" t="s">
        <v>303</v>
      </c>
      <c r="B2701">
        <v>80517</v>
      </c>
      <c r="C2701">
        <v>99</v>
      </c>
      <c r="D2701">
        <v>22</v>
      </c>
      <c r="E2701" s="7" t="s">
        <v>200</v>
      </c>
      <c r="F2701">
        <v>45</v>
      </c>
    </row>
    <row r="2702" spans="1:7" x14ac:dyDescent="0.2">
      <c r="A2702" s="7" t="s">
        <v>303</v>
      </c>
      <c r="B2702">
        <v>80517</v>
      </c>
      <c r="C2702">
        <v>100</v>
      </c>
      <c r="D2702">
        <v>22</v>
      </c>
      <c r="E2702" s="7" t="s">
        <v>200</v>
      </c>
      <c r="F2702" s="7">
        <v>32</v>
      </c>
    </row>
    <row r="2703" spans="1:7" x14ac:dyDescent="0.2">
      <c r="A2703" s="7" t="s">
        <v>304</v>
      </c>
      <c r="B2703">
        <v>80517</v>
      </c>
      <c r="C2703" s="7" t="s">
        <v>26</v>
      </c>
      <c r="D2703" s="7" t="s">
        <v>26</v>
      </c>
      <c r="E2703" s="7" t="s">
        <v>26</v>
      </c>
      <c r="F2703" s="7" t="s">
        <v>26</v>
      </c>
      <c r="G2703" s="7" t="s">
        <v>320</v>
      </c>
    </row>
    <row r="2704" spans="1:7" x14ac:dyDescent="0.2">
      <c r="A2704" s="24" t="s">
        <v>321</v>
      </c>
      <c r="B2704">
        <v>80917</v>
      </c>
      <c r="C2704" s="7" t="s">
        <v>26</v>
      </c>
      <c r="D2704" s="7" t="s">
        <v>26</v>
      </c>
      <c r="E2704" s="7" t="s">
        <v>26</v>
      </c>
      <c r="F2704" s="7" t="s">
        <v>26</v>
      </c>
      <c r="G2704" s="7" t="s">
        <v>329</v>
      </c>
    </row>
    <row r="2705" spans="1:6" x14ac:dyDescent="0.2">
      <c r="A2705" s="7" t="s">
        <v>322</v>
      </c>
      <c r="B2705">
        <v>80917</v>
      </c>
      <c r="C2705">
        <v>1</v>
      </c>
      <c r="D2705" s="7">
        <v>1</v>
      </c>
      <c r="E2705" t="s">
        <v>127</v>
      </c>
      <c r="F2705" s="7">
        <v>180</v>
      </c>
    </row>
    <row r="2706" spans="1:6" x14ac:dyDescent="0.2">
      <c r="A2706" s="7" t="s">
        <v>322</v>
      </c>
      <c r="B2706">
        <v>80917</v>
      </c>
      <c r="C2706">
        <v>2</v>
      </c>
      <c r="D2706" s="7">
        <v>1</v>
      </c>
      <c r="E2706" t="s">
        <v>127</v>
      </c>
      <c r="F2706" s="7">
        <v>90</v>
      </c>
    </row>
    <row r="2707" spans="1:6" x14ac:dyDescent="0.2">
      <c r="A2707" s="7" t="s">
        <v>322</v>
      </c>
      <c r="B2707">
        <v>80917</v>
      </c>
      <c r="C2707">
        <v>3</v>
      </c>
      <c r="D2707" s="7">
        <v>1</v>
      </c>
      <c r="E2707" t="s">
        <v>200</v>
      </c>
      <c r="F2707" t="s">
        <v>115</v>
      </c>
    </row>
    <row r="2708" spans="1:6" x14ac:dyDescent="0.2">
      <c r="A2708" s="7" t="s">
        <v>322</v>
      </c>
      <c r="B2708">
        <v>80917</v>
      </c>
      <c r="C2708">
        <v>4</v>
      </c>
      <c r="D2708" s="7">
        <v>2</v>
      </c>
      <c r="E2708" t="s">
        <v>127</v>
      </c>
      <c r="F2708">
        <v>180</v>
      </c>
    </row>
    <row r="2709" spans="1:6" x14ac:dyDescent="0.2">
      <c r="A2709" s="7" t="s">
        <v>322</v>
      </c>
      <c r="B2709">
        <v>80917</v>
      </c>
      <c r="C2709">
        <v>5</v>
      </c>
      <c r="D2709" s="7">
        <v>2</v>
      </c>
      <c r="E2709" t="s">
        <v>127</v>
      </c>
      <c r="F2709">
        <v>180</v>
      </c>
    </row>
    <row r="2710" spans="1:6" x14ac:dyDescent="0.2">
      <c r="A2710" s="7" t="s">
        <v>322</v>
      </c>
      <c r="B2710">
        <v>80917</v>
      </c>
      <c r="C2710">
        <v>6</v>
      </c>
      <c r="D2710" s="7">
        <v>3</v>
      </c>
      <c r="E2710" t="s">
        <v>127</v>
      </c>
      <c r="F2710">
        <v>180</v>
      </c>
    </row>
    <row r="2711" spans="1:6" x14ac:dyDescent="0.2">
      <c r="A2711" s="7" t="s">
        <v>322</v>
      </c>
      <c r="B2711">
        <v>80917</v>
      </c>
      <c r="C2711">
        <v>7</v>
      </c>
      <c r="D2711" s="7">
        <v>3</v>
      </c>
      <c r="E2711" t="s">
        <v>200</v>
      </c>
      <c r="F2711" t="s">
        <v>115</v>
      </c>
    </row>
    <row r="2712" spans="1:6" x14ac:dyDescent="0.2">
      <c r="A2712" s="7" t="s">
        <v>322</v>
      </c>
      <c r="B2712">
        <v>80917</v>
      </c>
      <c r="C2712">
        <v>8</v>
      </c>
      <c r="D2712" s="7">
        <v>4</v>
      </c>
      <c r="E2712" t="s">
        <v>127</v>
      </c>
      <c r="F2712">
        <v>128</v>
      </c>
    </row>
    <row r="2713" spans="1:6" x14ac:dyDescent="0.2">
      <c r="A2713" s="7" t="s">
        <v>322</v>
      </c>
      <c r="B2713">
        <v>80917</v>
      </c>
      <c r="C2713">
        <v>9</v>
      </c>
      <c r="D2713" s="7">
        <v>4</v>
      </c>
      <c r="E2713" t="s">
        <v>127</v>
      </c>
      <c r="F2713">
        <v>16</v>
      </c>
    </row>
    <row r="2714" spans="1:6" x14ac:dyDescent="0.2">
      <c r="A2714" s="7" t="s">
        <v>322</v>
      </c>
      <c r="B2714">
        <v>80917</v>
      </c>
      <c r="C2714">
        <v>10</v>
      </c>
      <c r="D2714" s="7">
        <v>5</v>
      </c>
      <c r="E2714" t="s">
        <v>127</v>
      </c>
      <c r="F2714">
        <v>90</v>
      </c>
    </row>
    <row r="2715" spans="1:6" x14ac:dyDescent="0.2">
      <c r="A2715" s="7" t="s">
        <v>322</v>
      </c>
      <c r="B2715">
        <v>80917</v>
      </c>
      <c r="C2715">
        <v>11</v>
      </c>
      <c r="D2715" s="7">
        <v>5</v>
      </c>
      <c r="E2715" t="s">
        <v>200</v>
      </c>
      <c r="F2715" t="s">
        <v>115</v>
      </c>
    </row>
    <row r="2716" spans="1:6" x14ac:dyDescent="0.2">
      <c r="A2716" s="7" t="s">
        <v>322</v>
      </c>
      <c r="B2716">
        <v>80917</v>
      </c>
      <c r="C2716">
        <v>12</v>
      </c>
      <c r="D2716" s="7">
        <v>6</v>
      </c>
      <c r="E2716" t="s">
        <v>127</v>
      </c>
      <c r="F2716">
        <v>64</v>
      </c>
    </row>
    <row r="2717" spans="1:6" x14ac:dyDescent="0.2">
      <c r="A2717" s="7" t="s">
        <v>322</v>
      </c>
      <c r="B2717">
        <v>80917</v>
      </c>
      <c r="C2717">
        <v>13</v>
      </c>
      <c r="D2717" s="7">
        <v>6</v>
      </c>
      <c r="E2717" t="s">
        <v>200</v>
      </c>
      <c r="F2717" t="s">
        <v>115</v>
      </c>
    </row>
    <row r="2718" spans="1:6" x14ac:dyDescent="0.2">
      <c r="A2718" s="7" t="s">
        <v>322</v>
      </c>
      <c r="B2718">
        <v>80917</v>
      </c>
      <c r="C2718">
        <v>14</v>
      </c>
      <c r="D2718" s="7">
        <v>7</v>
      </c>
      <c r="E2718" t="s">
        <v>127</v>
      </c>
      <c r="F2718">
        <v>32</v>
      </c>
    </row>
    <row r="2719" spans="1:6" x14ac:dyDescent="0.2">
      <c r="A2719" s="7" t="s">
        <v>322</v>
      </c>
      <c r="B2719">
        <v>80917</v>
      </c>
      <c r="C2719">
        <v>15</v>
      </c>
      <c r="D2719" s="7">
        <v>7</v>
      </c>
      <c r="E2719" t="s">
        <v>200</v>
      </c>
      <c r="F2719" t="s">
        <v>115</v>
      </c>
    </row>
    <row r="2720" spans="1:6" x14ac:dyDescent="0.2">
      <c r="A2720" s="7" t="s">
        <v>322</v>
      </c>
      <c r="B2720">
        <v>80917</v>
      </c>
      <c r="C2720">
        <v>16</v>
      </c>
      <c r="D2720" s="7">
        <v>8</v>
      </c>
      <c r="E2720" t="s">
        <v>127</v>
      </c>
      <c r="F2720">
        <v>64</v>
      </c>
    </row>
    <row r="2721" spans="1:6" x14ac:dyDescent="0.2">
      <c r="A2721" s="7" t="s">
        <v>322</v>
      </c>
      <c r="B2721">
        <v>80917</v>
      </c>
      <c r="C2721">
        <v>17</v>
      </c>
      <c r="D2721" s="7">
        <v>8</v>
      </c>
      <c r="E2721" t="s">
        <v>200</v>
      </c>
      <c r="F2721" t="s">
        <v>115</v>
      </c>
    </row>
    <row r="2722" spans="1:6" x14ac:dyDescent="0.2">
      <c r="A2722" s="7" t="s">
        <v>322</v>
      </c>
      <c r="B2722">
        <v>80917</v>
      </c>
      <c r="C2722">
        <v>18</v>
      </c>
      <c r="D2722" s="7">
        <v>9</v>
      </c>
      <c r="E2722" t="s">
        <v>127</v>
      </c>
      <c r="F2722">
        <v>128</v>
      </c>
    </row>
    <row r="2723" spans="1:6" x14ac:dyDescent="0.2">
      <c r="A2723" s="7" t="s">
        <v>322</v>
      </c>
      <c r="B2723">
        <v>80917</v>
      </c>
      <c r="C2723">
        <v>19</v>
      </c>
      <c r="D2723" s="7">
        <v>9</v>
      </c>
      <c r="E2723" t="s">
        <v>127</v>
      </c>
      <c r="F2723">
        <v>64</v>
      </c>
    </row>
    <row r="2724" spans="1:6" x14ac:dyDescent="0.2">
      <c r="A2724" s="7" t="s">
        <v>322</v>
      </c>
      <c r="B2724">
        <v>80917</v>
      </c>
      <c r="C2724">
        <v>20</v>
      </c>
      <c r="D2724" s="7">
        <v>10</v>
      </c>
      <c r="E2724" t="s">
        <v>127</v>
      </c>
      <c r="F2724">
        <v>32</v>
      </c>
    </row>
    <row r="2725" spans="1:6" x14ac:dyDescent="0.2">
      <c r="A2725" s="7" t="s">
        <v>322</v>
      </c>
      <c r="B2725">
        <v>80917</v>
      </c>
      <c r="C2725">
        <v>21</v>
      </c>
      <c r="D2725" s="7">
        <v>10</v>
      </c>
      <c r="E2725" t="s">
        <v>127</v>
      </c>
      <c r="F2725">
        <v>45</v>
      </c>
    </row>
    <row r="2726" spans="1:6" x14ac:dyDescent="0.2">
      <c r="A2726" s="7" t="s">
        <v>322</v>
      </c>
      <c r="B2726">
        <v>80917</v>
      </c>
      <c r="C2726">
        <v>22</v>
      </c>
      <c r="D2726" s="7">
        <v>11</v>
      </c>
      <c r="E2726" t="s">
        <v>127</v>
      </c>
      <c r="F2726">
        <v>64</v>
      </c>
    </row>
    <row r="2727" spans="1:6" x14ac:dyDescent="0.2">
      <c r="A2727" s="7" t="s">
        <v>322</v>
      </c>
      <c r="B2727">
        <v>80917</v>
      </c>
      <c r="C2727">
        <v>23</v>
      </c>
      <c r="D2727" s="7">
        <v>11</v>
      </c>
      <c r="E2727" t="s">
        <v>127</v>
      </c>
      <c r="F2727">
        <v>45</v>
      </c>
    </row>
    <row r="2728" spans="1:6" x14ac:dyDescent="0.2">
      <c r="A2728" s="7" t="s">
        <v>322</v>
      </c>
      <c r="B2728">
        <v>80917</v>
      </c>
      <c r="C2728">
        <v>24</v>
      </c>
      <c r="D2728" s="7">
        <v>12</v>
      </c>
      <c r="E2728" t="s">
        <v>127</v>
      </c>
      <c r="F2728">
        <v>22.6</v>
      </c>
    </row>
    <row r="2729" spans="1:6" x14ac:dyDescent="0.2">
      <c r="A2729" s="7" t="s">
        <v>322</v>
      </c>
      <c r="B2729">
        <v>80917</v>
      </c>
      <c r="C2729">
        <v>25</v>
      </c>
      <c r="D2729" s="7">
        <v>13</v>
      </c>
      <c r="E2729" t="s">
        <v>127</v>
      </c>
      <c r="F2729" t="s">
        <v>115</v>
      </c>
    </row>
    <row r="2730" spans="1:6" x14ac:dyDescent="0.2">
      <c r="A2730" s="7" t="s">
        <v>322</v>
      </c>
      <c r="B2730">
        <v>80917</v>
      </c>
      <c r="C2730">
        <v>26</v>
      </c>
      <c r="D2730" s="7">
        <v>14</v>
      </c>
      <c r="E2730" t="s">
        <v>127</v>
      </c>
      <c r="F2730">
        <v>180</v>
      </c>
    </row>
    <row r="2731" spans="1:6" x14ac:dyDescent="0.2">
      <c r="A2731" s="7" t="s">
        <v>322</v>
      </c>
      <c r="B2731">
        <v>80917</v>
      </c>
      <c r="C2731">
        <v>27</v>
      </c>
      <c r="D2731" s="7">
        <v>15</v>
      </c>
      <c r="E2731" t="s">
        <v>127</v>
      </c>
      <c r="F2731">
        <v>128</v>
      </c>
    </row>
    <row r="2732" spans="1:6" x14ac:dyDescent="0.2">
      <c r="A2732" s="7" t="s">
        <v>322</v>
      </c>
      <c r="B2732">
        <v>80917</v>
      </c>
      <c r="C2732">
        <v>28</v>
      </c>
      <c r="D2732" s="7">
        <v>16</v>
      </c>
      <c r="E2732" t="s">
        <v>127</v>
      </c>
      <c r="F2732">
        <v>11</v>
      </c>
    </row>
    <row r="2733" spans="1:6" x14ac:dyDescent="0.2">
      <c r="A2733" s="7" t="s">
        <v>322</v>
      </c>
      <c r="B2733">
        <v>80917</v>
      </c>
      <c r="C2733">
        <v>29</v>
      </c>
      <c r="D2733" s="7">
        <v>17</v>
      </c>
      <c r="E2733" t="s">
        <v>127</v>
      </c>
      <c r="F2733">
        <v>45</v>
      </c>
    </row>
    <row r="2734" spans="1:6" x14ac:dyDescent="0.2">
      <c r="A2734" s="7" t="s">
        <v>322</v>
      </c>
      <c r="B2734">
        <v>80917</v>
      </c>
      <c r="C2734">
        <v>30</v>
      </c>
      <c r="D2734" s="7">
        <v>18</v>
      </c>
      <c r="E2734" t="s">
        <v>200</v>
      </c>
      <c r="F2734" t="s">
        <v>115</v>
      </c>
    </row>
    <row r="2735" spans="1:6" x14ac:dyDescent="0.2">
      <c r="A2735" s="7" t="s">
        <v>322</v>
      </c>
      <c r="B2735">
        <v>80917</v>
      </c>
      <c r="C2735">
        <v>31</v>
      </c>
      <c r="D2735" s="7">
        <v>19</v>
      </c>
      <c r="E2735" t="s">
        <v>127</v>
      </c>
      <c r="F2735">
        <v>64</v>
      </c>
    </row>
    <row r="2736" spans="1:6" x14ac:dyDescent="0.2">
      <c r="A2736" s="7" t="s">
        <v>322</v>
      </c>
      <c r="B2736">
        <v>80917</v>
      </c>
      <c r="C2736">
        <v>32</v>
      </c>
      <c r="D2736" s="7">
        <v>20</v>
      </c>
      <c r="E2736" t="s">
        <v>127</v>
      </c>
      <c r="F2736">
        <v>32</v>
      </c>
    </row>
    <row r="2737" spans="1:7" x14ac:dyDescent="0.2">
      <c r="A2737" s="7" t="s">
        <v>322</v>
      </c>
      <c r="B2737">
        <v>80917</v>
      </c>
      <c r="C2737">
        <v>33</v>
      </c>
      <c r="D2737" s="7">
        <v>21</v>
      </c>
      <c r="E2737" t="s">
        <v>127</v>
      </c>
      <c r="F2737">
        <v>180</v>
      </c>
    </row>
    <row r="2738" spans="1:7" x14ac:dyDescent="0.2">
      <c r="A2738" s="7" t="s">
        <v>322</v>
      </c>
      <c r="B2738">
        <v>80917</v>
      </c>
      <c r="C2738">
        <v>34</v>
      </c>
      <c r="D2738" s="7">
        <v>22</v>
      </c>
      <c r="E2738" t="s">
        <v>200</v>
      </c>
      <c r="F2738" t="s">
        <v>115</v>
      </c>
    </row>
    <row r="2739" spans="1:7" x14ac:dyDescent="0.2">
      <c r="A2739" s="7" t="s">
        <v>322</v>
      </c>
      <c r="B2739">
        <v>80917</v>
      </c>
      <c r="C2739">
        <v>35</v>
      </c>
      <c r="D2739" s="7">
        <v>23</v>
      </c>
      <c r="E2739" t="s">
        <v>200</v>
      </c>
      <c r="F2739" t="s">
        <v>115</v>
      </c>
    </row>
    <row r="2740" spans="1:7" x14ac:dyDescent="0.2">
      <c r="A2740" s="7" t="s">
        <v>322</v>
      </c>
      <c r="B2740">
        <v>80917</v>
      </c>
      <c r="C2740">
        <v>36</v>
      </c>
      <c r="D2740" s="7">
        <v>24</v>
      </c>
      <c r="E2740" t="s">
        <v>127</v>
      </c>
      <c r="F2740">
        <v>128</v>
      </c>
    </row>
    <row r="2741" spans="1:7" x14ac:dyDescent="0.2">
      <c r="A2741" s="7" t="s">
        <v>322</v>
      </c>
      <c r="B2741">
        <v>80917</v>
      </c>
      <c r="C2741">
        <v>37</v>
      </c>
      <c r="D2741" s="7">
        <v>25</v>
      </c>
      <c r="E2741" t="s">
        <v>127</v>
      </c>
      <c r="F2741">
        <v>45</v>
      </c>
    </row>
    <row r="2742" spans="1:7" x14ac:dyDescent="0.2">
      <c r="A2742" s="7" t="s">
        <v>322</v>
      </c>
      <c r="B2742">
        <v>80917</v>
      </c>
      <c r="C2742">
        <v>38</v>
      </c>
      <c r="D2742" s="7">
        <v>26</v>
      </c>
      <c r="E2742" t="s">
        <v>127</v>
      </c>
      <c r="F2742">
        <v>64</v>
      </c>
      <c r="G2742" t="s">
        <v>331</v>
      </c>
    </row>
    <row r="2743" spans="1:7" x14ac:dyDescent="0.2">
      <c r="A2743" s="7" t="s">
        <v>322</v>
      </c>
      <c r="B2743">
        <v>80917</v>
      </c>
      <c r="C2743">
        <v>39</v>
      </c>
      <c r="D2743" s="7">
        <v>27</v>
      </c>
      <c r="E2743" t="s">
        <v>127</v>
      </c>
      <c r="F2743">
        <v>22.6</v>
      </c>
    </row>
    <row r="2744" spans="1:7" x14ac:dyDescent="0.2">
      <c r="A2744" s="7" t="s">
        <v>322</v>
      </c>
      <c r="B2744">
        <v>80917</v>
      </c>
      <c r="C2744">
        <v>40</v>
      </c>
      <c r="D2744" s="7">
        <v>27</v>
      </c>
      <c r="E2744" t="s">
        <v>127</v>
      </c>
      <c r="F2744">
        <v>64</v>
      </c>
    </row>
    <row r="2745" spans="1:7" x14ac:dyDescent="0.2">
      <c r="A2745" s="7" t="s">
        <v>322</v>
      </c>
      <c r="B2745">
        <v>80917</v>
      </c>
      <c r="C2745">
        <v>41</v>
      </c>
      <c r="D2745" s="7">
        <v>28</v>
      </c>
      <c r="E2745" t="s">
        <v>127</v>
      </c>
      <c r="F2745">
        <v>22.6</v>
      </c>
    </row>
    <row r="2746" spans="1:7" x14ac:dyDescent="0.2">
      <c r="A2746" s="7" t="s">
        <v>322</v>
      </c>
      <c r="B2746">
        <v>80917</v>
      </c>
      <c r="C2746">
        <v>42</v>
      </c>
      <c r="D2746" s="7">
        <v>28</v>
      </c>
      <c r="E2746" t="s">
        <v>127</v>
      </c>
      <c r="F2746">
        <v>90</v>
      </c>
    </row>
    <row r="2747" spans="1:7" x14ac:dyDescent="0.2">
      <c r="A2747" s="7" t="s">
        <v>322</v>
      </c>
      <c r="B2747">
        <v>80917</v>
      </c>
      <c r="C2747">
        <v>43</v>
      </c>
      <c r="D2747" s="7">
        <v>29</v>
      </c>
      <c r="E2747" t="s">
        <v>127</v>
      </c>
      <c r="F2747">
        <v>45</v>
      </c>
    </row>
    <row r="2748" spans="1:7" x14ac:dyDescent="0.2">
      <c r="A2748" s="7" t="s">
        <v>322</v>
      </c>
      <c r="B2748">
        <v>80917</v>
      </c>
      <c r="C2748">
        <v>44</v>
      </c>
      <c r="D2748" s="7">
        <v>29</v>
      </c>
      <c r="E2748" t="s">
        <v>127</v>
      </c>
      <c r="F2748">
        <v>22.6</v>
      </c>
    </row>
    <row r="2749" spans="1:7" x14ac:dyDescent="0.2">
      <c r="A2749" s="7" t="s">
        <v>322</v>
      </c>
      <c r="B2749">
        <v>80917</v>
      </c>
      <c r="C2749">
        <v>45</v>
      </c>
      <c r="D2749" s="7">
        <v>30</v>
      </c>
      <c r="E2749" t="s">
        <v>127</v>
      </c>
      <c r="F2749">
        <v>32</v>
      </c>
    </row>
    <row r="2750" spans="1:7" x14ac:dyDescent="0.2">
      <c r="A2750" s="7" t="s">
        <v>322</v>
      </c>
      <c r="B2750">
        <v>80917</v>
      </c>
      <c r="C2750">
        <v>46</v>
      </c>
      <c r="D2750" s="7">
        <v>30</v>
      </c>
      <c r="E2750" t="s">
        <v>127</v>
      </c>
      <c r="F2750">
        <v>32</v>
      </c>
    </row>
    <row r="2751" spans="1:7" x14ac:dyDescent="0.2">
      <c r="A2751" s="7" t="s">
        <v>322</v>
      </c>
      <c r="B2751">
        <v>80917</v>
      </c>
      <c r="C2751">
        <v>47</v>
      </c>
      <c r="D2751" s="7">
        <v>31</v>
      </c>
      <c r="E2751" t="s">
        <v>127</v>
      </c>
      <c r="F2751">
        <v>45</v>
      </c>
    </row>
    <row r="2752" spans="1:7" x14ac:dyDescent="0.2">
      <c r="A2752" s="7" t="s">
        <v>322</v>
      </c>
      <c r="B2752">
        <v>80917</v>
      </c>
      <c r="C2752">
        <v>48</v>
      </c>
      <c r="D2752" s="7">
        <v>31</v>
      </c>
      <c r="E2752" t="s">
        <v>127</v>
      </c>
      <c r="F2752">
        <v>64</v>
      </c>
    </row>
    <row r="2753" spans="1:7" x14ac:dyDescent="0.2">
      <c r="A2753" s="7" t="s">
        <v>322</v>
      </c>
      <c r="B2753">
        <v>80917</v>
      </c>
      <c r="C2753">
        <v>49</v>
      </c>
      <c r="D2753" s="7">
        <v>32</v>
      </c>
      <c r="E2753" t="s">
        <v>127</v>
      </c>
      <c r="F2753">
        <v>90</v>
      </c>
    </row>
    <row r="2754" spans="1:7" x14ac:dyDescent="0.2">
      <c r="A2754" s="7" t="s">
        <v>322</v>
      </c>
      <c r="B2754">
        <v>80917</v>
      </c>
      <c r="C2754">
        <v>50</v>
      </c>
      <c r="D2754" s="7">
        <v>32</v>
      </c>
      <c r="E2754" t="s">
        <v>127</v>
      </c>
      <c r="F2754">
        <v>64</v>
      </c>
    </row>
    <row r="2755" spans="1:7" x14ac:dyDescent="0.2">
      <c r="A2755" s="7" t="s">
        <v>322</v>
      </c>
      <c r="B2755">
        <v>80917</v>
      </c>
      <c r="C2755">
        <v>51</v>
      </c>
      <c r="D2755" s="7">
        <v>33</v>
      </c>
      <c r="E2755" t="s">
        <v>127</v>
      </c>
      <c r="F2755">
        <v>90</v>
      </c>
    </row>
    <row r="2756" spans="1:7" x14ac:dyDescent="0.2">
      <c r="A2756" s="7" t="s">
        <v>322</v>
      </c>
      <c r="B2756">
        <v>80917</v>
      </c>
      <c r="C2756">
        <v>52</v>
      </c>
      <c r="D2756" s="7">
        <v>34</v>
      </c>
      <c r="E2756" t="s">
        <v>127</v>
      </c>
      <c r="F2756">
        <v>90</v>
      </c>
    </row>
    <row r="2757" spans="1:7" x14ac:dyDescent="0.2">
      <c r="A2757" s="7" t="s">
        <v>322</v>
      </c>
      <c r="B2757">
        <v>80917</v>
      </c>
      <c r="C2757">
        <v>53</v>
      </c>
      <c r="D2757" s="7">
        <v>35</v>
      </c>
      <c r="E2757" t="s">
        <v>130</v>
      </c>
      <c r="F2757">
        <v>180</v>
      </c>
    </row>
    <row r="2758" spans="1:7" x14ac:dyDescent="0.2">
      <c r="A2758" s="7" t="s">
        <v>322</v>
      </c>
      <c r="B2758">
        <v>80917</v>
      </c>
      <c r="C2758">
        <v>54</v>
      </c>
      <c r="D2758" s="7">
        <v>36</v>
      </c>
      <c r="E2758" t="s">
        <v>130</v>
      </c>
      <c r="F2758">
        <v>32</v>
      </c>
    </row>
    <row r="2759" spans="1:7" x14ac:dyDescent="0.2">
      <c r="A2759" s="7" t="s">
        <v>322</v>
      </c>
      <c r="B2759">
        <v>80917</v>
      </c>
      <c r="C2759">
        <v>55</v>
      </c>
      <c r="D2759" s="7">
        <v>36</v>
      </c>
      <c r="E2759" t="s">
        <v>130</v>
      </c>
      <c r="F2759" t="s">
        <v>115</v>
      </c>
    </row>
    <row r="2760" spans="1:7" x14ac:dyDescent="0.2">
      <c r="A2760" s="7" t="s">
        <v>322</v>
      </c>
      <c r="B2760">
        <v>80917</v>
      </c>
      <c r="C2760">
        <v>56</v>
      </c>
      <c r="D2760" s="7">
        <v>37</v>
      </c>
      <c r="E2760" t="s">
        <v>130</v>
      </c>
      <c r="F2760">
        <v>2.8</v>
      </c>
    </row>
    <row r="2761" spans="1:7" x14ac:dyDescent="0.2">
      <c r="A2761" s="7" t="s">
        <v>322</v>
      </c>
      <c r="B2761">
        <v>80917</v>
      </c>
      <c r="C2761">
        <v>57</v>
      </c>
      <c r="D2761" s="7">
        <v>37</v>
      </c>
      <c r="E2761" t="s">
        <v>130</v>
      </c>
      <c r="F2761">
        <v>90</v>
      </c>
    </row>
    <row r="2762" spans="1:7" x14ac:dyDescent="0.2">
      <c r="A2762" s="7" t="s">
        <v>322</v>
      </c>
      <c r="B2762">
        <v>80917</v>
      </c>
      <c r="C2762">
        <v>58</v>
      </c>
      <c r="D2762" s="7">
        <v>38</v>
      </c>
      <c r="E2762" t="s">
        <v>127</v>
      </c>
      <c r="F2762">
        <v>90</v>
      </c>
      <c r="G2762" t="s">
        <v>330</v>
      </c>
    </row>
    <row r="2763" spans="1:7" x14ac:dyDescent="0.2">
      <c r="A2763" s="7" t="s">
        <v>322</v>
      </c>
      <c r="B2763">
        <v>80917</v>
      </c>
      <c r="C2763">
        <v>59</v>
      </c>
      <c r="D2763" s="7">
        <v>39</v>
      </c>
      <c r="E2763" t="s">
        <v>130</v>
      </c>
      <c r="F2763">
        <v>22.6</v>
      </c>
    </row>
    <row r="2764" spans="1:7" x14ac:dyDescent="0.2">
      <c r="A2764" s="7" t="s">
        <v>322</v>
      </c>
      <c r="B2764">
        <v>80917</v>
      </c>
      <c r="C2764">
        <v>60</v>
      </c>
      <c r="D2764" s="7">
        <v>39</v>
      </c>
      <c r="E2764" t="s">
        <v>130</v>
      </c>
      <c r="F2764">
        <v>11</v>
      </c>
    </row>
    <row r="2765" spans="1:7" x14ac:dyDescent="0.2">
      <c r="A2765" s="7" t="s">
        <v>322</v>
      </c>
      <c r="B2765">
        <v>80917</v>
      </c>
      <c r="C2765">
        <v>61</v>
      </c>
      <c r="D2765" s="7">
        <v>40</v>
      </c>
      <c r="E2765" t="s">
        <v>130</v>
      </c>
      <c r="F2765">
        <v>32</v>
      </c>
    </row>
    <row r="2766" spans="1:7" x14ac:dyDescent="0.2">
      <c r="A2766" s="7" t="s">
        <v>322</v>
      </c>
      <c r="B2766">
        <v>80917</v>
      </c>
      <c r="C2766">
        <v>62</v>
      </c>
      <c r="D2766" s="7">
        <v>40</v>
      </c>
      <c r="E2766" t="s">
        <v>130</v>
      </c>
      <c r="F2766">
        <v>90</v>
      </c>
    </row>
    <row r="2767" spans="1:7" x14ac:dyDescent="0.2">
      <c r="A2767" s="7" t="s">
        <v>322</v>
      </c>
      <c r="B2767">
        <v>80917</v>
      </c>
      <c r="C2767">
        <v>63</v>
      </c>
      <c r="D2767" s="7">
        <v>40</v>
      </c>
      <c r="E2767" t="s">
        <v>130</v>
      </c>
      <c r="F2767" t="s">
        <v>115</v>
      </c>
    </row>
    <row r="2768" spans="1:7" x14ac:dyDescent="0.2">
      <c r="A2768" s="7" t="s">
        <v>322</v>
      </c>
      <c r="B2768">
        <v>80917</v>
      </c>
      <c r="C2768">
        <v>64</v>
      </c>
      <c r="D2768" s="7">
        <v>40</v>
      </c>
      <c r="E2768" t="s">
        <v>130</v>
      </c>
      <c r="F2768" t="s">
        <v>115</v>
      </c>
    </row>
    <row r="2769" spans="1:6" x14ac:dyDescent="0.2">
      <c r="A2769" s="7" t="s">
        <v>322</v>
      </c>
      <c r="B2769">
        <v>80917</v>
      </c>
      <c r="C2769">
        <v>65</v>
      </c>
      <c r="D2769" s="7">
        <v>41</v>
      </c>
      <c r="E2769" t="s">
        <v>130</v>
      </c>
      <c r="F2769">
        <v>22.6</v>
      </c>
    </row>
    <row r="2770" spans="1:6" x14ac:dyDescent="0.2">
      <c r="A2770" s="7" t="s">
        <v>322</v>
      </c>
      <c r="B2770">
        <v>80917</v>
      </c>
      <c r="C2770">
        <v>66</v>
      </c>
      <c r="D2770" s="7">
        <v>41</v>
      </c>
      <c r="E2770" t="s">
        <v>130</v>
      </c>
      <c r="F2770">
        <v>64</v>
      </c>
    </row>
    <row r="2771" spans="1:6" x14ac:dyDescent="0.2">
      <c r="A2771" s="7" t="s">
        <v>322</v>
      </c>
      <c r="B2771">
        <v>80917</v>
      </c>
      <c r="C2771">
        <v>67</v>
      </c>
      <c r="D2771" s="7">
        <v>41</v>
      </c>
      <c r="E2771" t="s">
        <v>130</v>
      </c>
      <c r="F2771" t="s">
        <v>115</v>
      </c>
    </row>
    <row r="2772" spans="1:6" x14ac:dyDescent="0.2">
      <c r="A2772" s="7" t="s">
        <v>322</v>
      </c>
      <c r="B2772">
        <v>80917</v>
      </c>
      <c r="C2772">
        <v>68</v>
      </c>
      <c r="D2772" s="7">
        <v>41</v>
      </c>
      <c r="E2772" t="s">
        <v>130</v>
      </c>
      <c r="F2772">
        <v>45</v>
      </c>
    </row>
    <row r="2773" spans="1:6" x14ac:dyDescent="0.2">
      <c r="A2773" s="7" t="s">
        <v>322</v>
      </c>
      <c r="B2773">
        <v>80917</v>
      </c>
      <c r="C2773">
        <v>69</v>
      </c>
      <c r="D2773" s="7">
        <v>42</v>
      </c>
      <c r="E2773" t="s">
        <v>130</v>
      </c>
      <c r="F2773">
        <v>128</v>
      </c>
    </row>
    <row r="2774" spans="1:6" x14ac:dyDescent="0.2">
      <c r="A2774" s="7" t="s">
        <v>322</v>
      </c>
      <c r="B2774">
        <v>80917</v>
      </c>
      <c r="C2774">
        <v>70</v>
      </c>
      <c r="D2774" s="7">
        <v>42</v>
      </c>
      <c r="E2774" t="s">
        <v>130</v>
      </c>
      <c r="F2774">
        <v>32</v>
      </c>
    </row>
    <row r="2775" spans="1:6" x14ac:dyDescent="0.2">
      <c r="A2775" s="7" t="s">
        <v>322</v>
      </c>
      <c r="B2775">
        <v>80917</v>
      </c>
      <c r="C2775">
        <v>71</v>
      </c>
      <c r="D2775" s="7">
        <v>42</v>
      </c>
      <c r="E2775" t="s">
        <v>130</v>
      </c>
      <c r="F2775">
        <v>22.6</v>
      </c>
    </row>
    <row r="2776" spans="1:6" x14ac:dyDescent="0.2">
      <c r="A2776" s="7" t="s">
        <v>322</v>
      </c>
      <c r="B2776">
        <v>80917</v>
      </c>
      <c r="C2776">
        <v>72</v>
      </c>
      <c r="D2776" s="7">
        <v>42</v>
      </c>
      <c r="E2776" t="s">
        <v>130</v>
      </c>
      <c r="F2776">
        <v>32</v>
      </c>
    </row>
    <row r="2777" spans="1:6" x14ac:dyDescent="0.2">
      <c r="A2777" s="7" t="s">
        <v>322</v>
      </c>
      <c r="B2777">
        <v>80917</v>
      </c>
      <c r="C2777">
        <v>73</v>
      </c>
      <c r="D2777" s="7">
        <v>43</v>
      </c>
      <c r="E2777" t="s">
        <v>130</v>
      </c>
      <c r="F2777">
        <v>22.6</v>
      </c>
    </row>
    <row r="2778" spans="1:6" x14ac:dyDescent="0.2">
      <c r="A2778" s="7" t="s">
        <v>322</v>
      </c>
      <c r="B2778">
        <v>80917</v>
      </c>
      <c r="C2778">
        <v>74</v>
      </c>
      <c r="D2778" s="7">
        <v>43</v>
      </c>
      <c r="E2778" t="s">
        <v>130</v>
      </c>
      <c r="F2778">
        <v>90</v>
      </c>
    </row>
    <row r="2779" spans="1:6" x14ac:dyDescent="0.2">
      <c r="A2779" s="7" t="s">
        <v>322</v>
      </c>
      <c r="B2779">
        <v>80917</v>
      </c>
      <c r="C2779">
        <v>75</v>
      </c>
      <c r="D2779" s="7">
        <v>43</v>
      </c>
      <c r="E2779" t="s">
        <v>130</v>
      </c>
      <c r="F2779">
        <v>32</v>
      </c>
    </row>
    <row r="2780" spans="1:6" x14ac:dyDescent="0.2">
      <c r="A2780" s="7" t="s">
        <v>322</v>
      </c>
      <c r="B2780">
        <v>80917</v>
      </c>
      <c r="C2780">
        <v>76</v>
      </c>
      <c r="D2780" s="7">
        <v>43</v>
      </c>
      <c r="E2780" t="s">
        <v>130</v>
      </c>
      <c r="F2780">
        <v>128</v>
      </c>
    </row>
    <row r="2781" spans="1:6" x14ac:dyDescent="0.2">
      <c r="A2781" s="7" t="s">
        <v>322</v>
      </c>
      <c r="B2781">
        <v>80917</v>
      </c>
      <c r="C2781">
        <v>77</v>
      </c>
      <c r="D2781" s="7">
        <v>44</v>
      </c>
      <c r="E2781" t="s">
        <v>130</v>
      </c>
      <c r="F2781">
        <v>90</v>
      </c>
    </row>
    <row r="2782" spans="1:6" x14ac:dyDescent="0.2">
      <c r="A2782" s="7" t="s">
        <v>322</v>
      </c>
      <c r="B2782">
        <v>80917</v>
      </c>
      <c r="C2782">
        <v>78</v>
      </c>
      <c r="D2782" s="7">
        <v>44</v>
      </c>
      <c r="E2782" t="s">
        <v>130</v>
      </c>
      <c r="F2782">
        <v>32</v>
      </c>
    </row>
    <row r="2783" spans="1:6" x14ac:dyDescent="0.2">
      <c r="A2783" s="7" t="s">
        <v>322</v>
      </c>
      <c r="B2783">
        <v>80917</v>
      </c>
      <c r="C2783">
        <v>79</v>
      </c>
      <c r="D2783" s="7">
        <v>44</v>
      </c>
      <c r="E2783" t="s">
        <v>130</v>
      </c>
      <c r="F2783">
        <v>45</v>
      </c>
    </row>
    <row r="2784" spans="1:6" x14ac:dyDescent="0.2">
      <c r="A2784" s="7" t="s">
        <v>322</v>
      </c>
      <c r="B2784">
        <v>80917</v>
      </c>
      <c r="C2784">
        <v>80</v>
      </c>
      <c r="D2784" s="7">
        <v>44</v>
      </c>
      <c r="E2784" t="s">
        <v>130</v>
      </c>
      <c r="F2784">
        <v>32</v>
      </c>
    </row>
    <row r="2785" spans="1:6" x14ac:dyDescent="0.2">
      <c r="A2785" s="7" t="s">
        <v>322</v>
      </c>
      <c r="B2785">
        <v>80917</v>
      </c>
      <c r="C2785">
        <v>81</v>
      </c>
      <c r="D2785" s="7">
        <v>45</v>
      </c>
      <c r="E2785" t="s">
        <v>130</v>
      </c>
      <c r="F2785">
        <v>32</v>
      </c>
    </row>
    <row r="2786" spans="1:6" x14ac:dyDescent="0.2">
      <c r="A2786" s="7" t="s">
        <v>322</v>
      </c>
      <c r="B2786">
        <v>80917</v>
      </c>
      <c r="C2786">
        <v>82</v>
      </c>
      <c r="D2786" s="7">
        <v>45</v>
      </c>
      <c r="E2786" t="s">
        <v>130</v>
      </c>
      <c r="F2786">
        <v>22.6</v>
      </c>
    </row>
    <row r="2787" spans="1:6" x14ac:dyDescent="0.2">
      <c r="A2787" s="7" t="s">
        <v>322</v>
      </c>
      <c r="B2787">
        <v>80917</v>
      </c>
      <c r="C2787">
        <v>83</v>
      </c>
      <c r="D2787" s="7">
        <v>45</v>
      </c>
      <c r="E2787" t="s">
        <v>130</v>
      </c>
      <c r="F2787">
        <v>64</v>
      </c>
    </row>
    <row r="2788" spans="1:6" x14ac:dyDescent="0.2">
      <c r="A2788" s="7" t="s">
        <v>322</v>
      </c>
      <c r="B2788">
        <v>80917</v>
      </c>
      <c r="C2788">
        <v>84</v>
      </c>
      <c r="D2788" s="7">
        <v>46</v>
      </c>
      <c r="E2788" t="s">
        <v>130</v>
      </c>
      <c r="F2788">
        <v>32</v>
      </c>
    </row>
    <row r="2789" spans="1:6" x14ac:dyDescent="0.2">
      <c r="A2789" s="7" t="s">
        <v>322</v>
      </c>
      <c r="B2789">
        <v>80917</v>
      </c>
      <c r="C2789">
        <v>85</v>
      </c>
      <c r="D2789" s="7">
        <v>46</v>
      </c>
      <c r="E2789" t="s">
        <v>130</v>
      </c>
      <c r="F2789">
        <v>64</v>
      </c>
    </row>
    <row r="2790" spans="1:6" x14ac:dyDescent="0.2">
      <c r="A2790" s="7" t="s">
        <v>322</v>
      </c>
      <c r="B2790">
        <v>80917</v>
      </c>
      <c r="C2790">
        <v>86</v>
      </c>
      <c r="D2790" s="7">
        <v>46</v>
      </c>
      <c r="E2790" t="s">
        <v>130</v>
      </c>
      <c r="F2790">
        <v>45</v>
      </c>
    </row>
    <row r="2791" spans="1:6" x14ac:dyDescent="0.2">
      <c r="A2791" s="7" t="s">
        <v>322</v>
      </c>
      <c r="B2791">
        <v>80917</v>
      </c>
      <c r="C2791">
        <v>87</v>
      </c>
      <c r="D2791" s="7">
        <v>47</v>
      </c>
      <c r="E2791" t="s">
        <v>130</v>
      </c>
      <c r="F2791">
        <v>32</v>
      </c>
    </row>
    <row r="2792" spans="1:6" x14ac:dyDescent="0.2">
      <c r="A2792" s="7" t="s">
        <v>322</v>
      </c>
      <c r="B2792">
        <v>80917</v>
      </c>
      <c r="C2792">
        <v>88</v>
      </c>
      <c r="D2792" s="7">
        <v>47</v>
      </c>
      <c r="E2792" t="s">
        <v>130</v>
      </c>
      <c r="F2792">
        <v>32</v>
      </c>
    </row>
    <row r="2793" spans="1:6" x14ac:dyDescent="0.2">
      <c r="A2793" s="7" t="s">
        <v>322</v>
      </c>
      <c r="B2793">
        <v>80917</v>
      </c>
      <c r="C2793">
        <v>89</v>
      </c>
      <c r="D2793" s="7">
        <v>47</v>
      </c>
      <c r="E2793" t="s">
        <v>130</v>
      </c>
      <c r="F2793">
        <v>22.6</v>
      </c>
    </row>
    <row r="2794" spans="1:6" x14ac:dyDescent="0.2">
      <c r="A2794" s="7" t="s">
        <v>322</v>
      </c>
      <c r="B2794">
        <v>80917</v>
      </c>
      <c r="C2794">
        <v>90</v>
      </c>
      <c r="D2794" s="7">
        <v>47</v>
      </c>
      <c r="E2794" t="s">
        <v>130</v>
      </c>
      <c r="F2794">
        <v>64</v>
      </c>
    </row>
    <row r="2795" spans="1:6" x14ac:dyDescent="0.2">
      <c r="A2795" s="7" t="s">
        <v>322</v>
      </c>
      <c r="B2795">
        <v>80917</v>
      </c>
      <c r="C2795">
        <v>91</v>
      </c>
      <c r="D2795" s="7">
        <v>48</v>
      </c>
      <c r="E2795" t="s">
        <v>130</v>
      </c>
      <c r="F2795" t="s">
        <v>115</v>
      </c>
    </row>
    <row r="2796" spans="1:6" x14ac:dyDescent="0.2">
      <c r="A2796" s="7" t="s">
        <v>322</v>
      </c>
      <c r="B2796">
        <v>80917</v>
      </c>
      <c r="C2796">
        <v>92</v>
      </c>
      <c r="D2796" s="7">
        <v>48</v>
      </c>
      <c r="E2796" t="s">
        <v>130</v>
      </c>
      <c r="F2796" t="s">
        <v>115</v>
      </c>
    </row>
    <row r="2797" spans="1:6" x14ac:dyDescent="0.2">
      <c r="A2797" s="7" t="s">
        <v>322</v>
      </c>
      <c r="B2797">
        <v>80917</v>
      </c>
      <c r="C2797">
        <v>93</v>
      </c>
      <c r="D2797" s="7">
        <v>48</v>
      </c>
      <c r="E2797" t="s">
        <v>130</v>
      </c>
      <c r="F2797">
        <v>45</v>
      </c>
    </row>
    <row r="2798" spans="1:6" x14ac:dyDescent="0.2">
      <c r="A2798" s="7" t="s">
        <v>322</v>
      </c>
      <c r="B2798">
        <v>80917</v>
      </c>
      <c r="C2798">
        <v>94</v>
      </c>
      <c r="D2798" s="7">
        <v>49</v>
      </c>
      <c r="E2798" t="s">
        <v>130</v>
      </c>
      <c r="F2798">
        <v>32</v>
      </c>
    </row>
    <row r="2799" spans="1:6" x14ac:dyDescent="0.2">
      <c r="A2799" s="7" t="s">
        <v>322</v>
      </c>
      <c r="B2799">
        <v>80917</v>
      </c>
      <c r="C2799">
        <v>95</v>
      </c>
      <c r="D2799" s="7">
        <v>49</v>
      </c>
      <c r="E2799" t="s">
        <v>130</v>
      </c>
      <c r="F2799">
        <v>32</v>
      </c>
    </row>
    <row r="2800" spans="1:6" x14ac:dyDescent="0.2">
      <c r="A2800" s="7" t="s">
        <v>322</v>
      </c>
      <c r="B2800">
        <v>80917</v>
      </c>
      <c r="C2800">
        <v>96</v>
      </c>
      <c r="D2800" s="7">
        <v>49</v>
      </c>
      <c r="E2800" t="s">
        <v>130</v>
      </c>
      <c r="F2800">
        <v>64</v>
      </c>
    </row>
    <row r="2801" spans="1:6" x14ac:dyDescent="0.2">
      <c r="A2801" s="7" t="s">
        <v>322</v>
      </c>
      <c r="B2801">
        <v>80917</v>
      </c>
      <c r="C2801">
        <v>97</v>
      </c>
      <c r="D2801" s="7">
        <v>50</v>
      </c>
      <c r="E2801" t="s">
        <v>130</v>
      </c>
      <c r="F2801">
        <v>64</v>
      </c>
    </row>
    <row r="2802" spans="1:6" x14ac:dyDescent="0.2">
      <c r="A2802" s="7" t="s">
        <v>322</v>
      </c>
      <c r="B2802">
        <v>80917</v>
      </c>
      <c r="C2802">
        <v>98</v>
      </c>
      <c r="D2802" s="7">
        <v>50</v>
      </c>
      <c r="E2802" t="s">
        <v>130</v>
      </c>
      <c r="F2802">
        <v>11</v>
      </c>
    </row>
    <row r="2803" spans="1:6" x14ac:dyDescent="0.2">
      <c r="A2803" s="7" t="s">
        <v>322</v>
      </c>
      <c r="B2803">
        <v>80917</v>
      </c>
      <c r="C2803">
        <v>99</v>
      </c>
      <c r="D2803" s="7">
        <v>50</v>
      </c>
      <c r="E2803" t="s">
        <v>130</v>
      </c>
      <c r="F2803">
        <v>45</v>
      </c>
    </row>
    <row r="2804" spans="1:6" x14ac:dyDescent="0.2">
      <c r="A2804" s="7" t="s">
        <v>322</v>
      </c>
      <c r="B2804">
        <v>80917</v>
      </c>
      <c r="C2804">
        <v>100</v>
      </c>
      <c r="D2804" s="7">
        <v>51</v>
      </c>
      <c r="E2804" t="s">
        <v>130</v>
      </c>
      <c r="F2804">
        <v>22.6</v>
      </c>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3"/>
  <sheetViews>
    <sheetView workbookViewId="0">
      <pane ySplit="1" topLeftCell="A2" activePane="bottomLeft" state="frozen"/>
      <selection pane="bottomLeft" activeCell="A17" sqref="A17:B23"/>
    </sheetView>
  </sheetViews>
  <sheetFormatPr defaultRowHeight="12.75" x14ac:dyDescent="0.2"/>
  <sheetData>
    <row r="1" spans="1:7" s="6" customFormat="1" x14ac:dyDescent="0.2">
      <c r="A1" s="6" t="s">
        <v>15</v>
      </c>
      <c r="B1" s="6" t="s">
        <v>32</v>
      </c>
      <c r="C1" s="6" t="s">
        <v>159</v>
      </c>
      <c r="D1" s="6" t="s">
        <v>215</v>
      </c>
      <c r="E1" s="6" t="s">
        <v>212</v>
      </c>
      <c r="F1" s="6" t="s">
        <v>213</v>
      </c>
      <c r="G1" s="6" t="s">
        <v>214</v>
      </c>
    </row>
    <row r="2" spans="1:7" x14ac:dyDescent="0.2">
      <c r="A2" s="7" t="s">
        <v>84</v>
      </c>
      <c r="B2">
        <v>71217</v>
      </c>
      <c r="C2">
        <v>0</v>
      </c>
      <c r="D2">
        <v>47</v>
      </c>
      <c r="E2">
        <v>67.179739999999995</v>
      </c>
      <c r="F2">
        <v>135.72730999999999</v>
      </c>
      <c r="G2">
        <v>565</v>
      </c>
    </row>
    <row r="3" spans="1:7" x14ac:dyDescent="0.2">
      <c r="A3" s="7" t="s">
        <v>84</v>
      </c>
      <c r="B3">
        <v>71217</v>
      </c>
      <c r="C3">
        <v>2</v>
      </c>
      <c r="D3">
        <v>21</v>
      </c>
      <c r="E3">
        <v>67.179689999999994</v>
      </c>
      <c r="F3">
        <v>135.72729000000001</v>
      </c>
      <c r="G3">
        <v>566</v>
      </c>
    </row>
    <row r="4" spans="1:7" x14ac:dyDescent="0.2">
      <c r="A4" s="7" t="s">
        <v>84</v>
      </c>
      <c r="B4">
        <v>71217</v>
      </c>
      <c r="C4">
        <v>4</v>
      </c>
      <c r="D4">
        <v>20</v>
      </c>
      <c r="E4">
        <v>67.17971</v>
      </c>
      <c r="F4">
        <v>135.72728000000001</v>
      </c>
      <c r="G4">
        <v>567</v>
      </c>
    </row>
    <row r="5" spans="1:7" x14ac:dyDescent="0.2">
      <c r="A5" s="7" t="s">
        <v>84</v>
      </c>
      <c r="B5">
        <v>71217</v>
      </c>
      <c r="C5">
        <v>6</v>
      </c>
      <c r="D5">
        <v>26</v>
      </c>
      <c r="E5">
        <v>67.179699999999997</v>
      </c>
      <c r="F5">
        <v>135.72720000000001</v>
      </c>
      <c r="G5">
        <v>567</v>
      </c>
    </row>
    <row r="6" spans="1:7" x14ac:dyDescent="0.2">
      <c r="A6" s="7" t="s">
        <v>84</v>
      </c>
      <c r="B6">
        <v>71217</v>
      </c>
      <c r="C6">
        <v>8</v>
      </c>
      <c r="D6">
        <v>47</v>
      </c>
      <c r="E6">
        <v>67.179699999999997</v>
      </c>
      <c r="F6">
        <v>135.72719000000001</v>
      </c>
      <c r="G6">
        <v>568</v>
      </c>
    </row>
    <row r="7" spans="1:7" x14ac:dyDescent="0.2">
      <c r="A7" s="7" t="s">
        <v>84</v>
      </c>
      <c r="B7">
        <v>71217</v>
      </c>
      <c r="C7">
        <v>10</v>
      </c>
      <c r="D7">
        <v>22</v>
      </c>
      <c r="E7">
        <v>67.179699999999997</v>
      </c>
      <c r="F7">
        <v>135.72713999999999</v>
      </c>
      <c r="G7">
        <v>568</v>
      </c>
    </row>
    <row r="8" spans="1:7" x14ac:dyDescent="0.2">
      <c r="A8" s="7" t="s">
        <v>84</v>
      </c>
      <c r="B8">
        <v>71217</v>
      </c>
      <c r="C8">
        <v>12</v>
      </c>
      <c r="D8">
        <v>15</v>
      </c>
      <c r="E8">
        <v>67.179699999999997</v>
      </c>
      <c r="F8">
        <v>135.72708</v>
      </c>
      <c r="G8">
        <v>570</v>
      </c>
    </row>
    <row r="9" spans="1:7" x14ac:dyDescent="0.2">
      <c r="A9" s="7" t="s">
        <v>82</v>
      </c>
      <c r="B9">
        <v>71217</v>
      </c>
      <c r="C9">
        <v>0</v>
      </c>
      <c r="D9">
        <v>45</v>
      </c>
      <c r="E9">
        <v>67.291700000000006</v>
      </c>
      <c r="F9">
        <v>135.06032999999999</v>
      </c>
      <c r="G9">
        <v>304</v>
      </c>
    </row>
    <row r="10" spans="1:7" x14ac:dyDescent="0.2">
      <c r="A10" s="7" t="s">
        <v>82</v>
      </c>
      <c r="B10">
        <v>71217</v>
      </c>
      <c r="C10">
        <v>2</v>
      </c>
      <c r="D10">
        <v>32</v>
      </c>
      <c r="E10">
        <v>67.291719999999998</v>
      </c>
      <c r="F10">
        <v>135.06029000000001</v>
      </c>
      <c r="G10">
        <v>303</v>
      </c>
    </row>
    <row r="11" spans="1:7" x14ac:dyDescent="0.2">
      <c r="A11" s="7" t="s">
        <v>82</v>
      </c>
      <c r="B11">
        <v>71217</v>
      </c>
      <c r="C11">
        <v>4</v>
      </c>
      <c r="D11">
        <v>23</v>
      </c>
      <c r="E11">
        <v>67.291730000000001</v>
      </c>
      <c r="F11">
        <v>135.06029000000001</v>
      </c>
      <c r="G11">
        <v>304</v>
      </c>
    </row>
    <row r="12" spans="1:7" x14ac:dyDescent="0.2">
      <c r="A12" s="7" t="s">
        <v>82</v>
      </c>
      <c r="B12">
        <v>71217</v>
      </c>
      <c r="C12">
        <v>6</v>
      </c>
      <c r="D12">
        <v>25</v>
      </c>
      <c r="E12">
        <v>67.291730000000001</v>
      </c>
      <c r="F12">
        <v>135.06023999999999</v>
      </c>
      <c r="G12">
        <v>303</v>
      </c>
    </row>
    <row r="13" spans="1:7" x14ac:dyDescent="0.2">
      <c r="A13" s="7" t="s">
        <v>83</v>
      </c>
      <c r="B13">
        <v>71317</v>
      </c>
      <c r="C13">
        <v>0</v>
      </c>
      <c r="D13">
        <v>64</v>
      </c>
      <c r="E13">
        <v>67.221019999999996</v>
      </c>
      <c r="F13">
        <v>135.50349</v>
      </c>
      <c r="G13">
        <v>346</v>
      </c>
    </row>
    <row r="14" spans="1:7" x14ac:dyDescent="0.2">
      <c r="A14" s="7" t="s">
        <v>83</v>
      </c>
      <c r="B14">
        <v>71317</v>
      </c>
      <c r="C14">
        <v>2</v>
      </c>
      <c r="D14">
        <v>17</v>
      </c>
      <c r="E14">
        <v>67.221019999999996</v>
      </c>
      <c r="F14">
        <v>135.50352000000001</v>
      </c>
      <c r="G14">
        <v>346</v>
      </c>
    </row>
    <row r="15" spans="1:7" x14ac:dyDescent="0.2">
      <c r="A15" s="7" t="s">
        <v>83</v>
      </c>
      <c r="B15">
        <v>71317</v>
      </c>
      <c r="C15">
        <v>4</v>
      </c>
      <c r="D15">
        <v>25</v>
      </c>
      <c r="E15">
        <v>67.221019999999996</v>
      </c>
      <c r="F15">
        <v>135.50359</v>
      </c>
      <c r="G15">
        <v>346</v>
      </c>
    </row>
    <row r="16" spans="1:7" x14ac:dyDescent="0.2">
      <c r="A16" s="7" t="s">
        <v>93</v>
      </c>
      <c r="B16">
        <v>71517</v>
      </c>
      <c r="C16">
        <v>0</v>
      </c>
      <c r="D16">
        <v>50</v>
      </c>
      <c r="E16">
        <v>67.176119999999997</v>
      </c>
      <c r="F16">
        <v>135.76138</v>
      </c>
      <c r="G16">
        <v>617</v>
      </c>
    </row>
    <row r="17" spans="1:7" x14ac:dyDescent="0.2">
      <c r="A17" s="7" t="s">
        <v>93</v>
      </c>
      <c r="B17">
        <v>71517</v>
      </c>
      <c r="C17">
        <v>2</v>
      </c>
      <c r="D17">
        <v>60</v>
      </c>
      <c r="E17">
        <v>67.176150000000007</v>
      </c>
      <c r="F17">
        <v>135.76140000000001</v>
      </c>
      <c r="G17">
        <v>618</v>
      </c>
    </row>
    <row r="18" spans="1:7" x14ac:dyDescent="0.2">
      <c r="A18" s="7" t="s">
        <v>93</v>
      </c>
      <c r="B18">
        <v>71517</v>
      </c>
      <c r="C18">
        <v>4</v>
      </c>
      <c r="D18">
        <v>42</v>
      </c>
      <c r="E18">
        <v>67.176150000000007</v>
      </c>
      <c r="F18">
        <v>135.76143999999999</v>
      </c>
      <c r="G18">
        <v>618</v>
      </c>
    </row>
    <row r="19" spans="1:7" x14ac:dyDescent="0.2">
      <c r="A19" s="7" t="s">
        <v>93</v>
      </c>
      <c r="B19">
        <v>71517</v>
      </c>
      <c r="C19">
        <v>6</v>
      </c>
      <c r="D19">
        <v>45</v>
      </c>
      <c r="E19">
        <v>67.176159999999996</v>
      </c>
      <c r="F19">
        <v>135.76146</v>
      </c>
      <c r="G19">
        <v>619</v>
      </c>
    </row>
    <row r="20" spans="1:7" x14ac:dyDescent="0.2">
      <c r="A20" s="7" t="s">
        <v>93</v>
      </c>
      <c r="B20">
        <v>71517</v>
      </c>
      <c r="C20">
        <v>8</v>
      </c>
      <c r="D20">
        <v>22</v>
      </c>
      <c r="E20">
        <v>67.176169999999999</v>
      </c>
      <c r="F20">
        <v>135.76151999999999</v>
      </c>
      <c r="G20">
        <v>619</v>
      </c>
    </row>
    <row r="21" spans="1:7" x14ac:dyDescent="0.2">
      <c r="A21" s="7" t="s">
        <v>93</v>
      </c>
      <c r="B21">
        <v>71517</v>
      </c>
      <c r="C21">
        <v>10</v>
      </c>
      <c r="D21">
        <v>10</v>
      </c>
      <c r="E21">
        <v>67.176190000000005</v>
      </c>
      <c r="F21">
        <v>135.76155</v>
      </c>
      <c r="G21">
        <v>619</v>
      </c>
    </row>
    <row r="22" spans="1:7" x14ac:dyDescent="0.2">
      <c r="A22" s="7" t="s">
        <v>93</v>
      </c>
      <c r="B22">
        <v>71517</v>
      </c>
      <c r="C22">
        <v>12</v>
      </c>
      <c r="D22">
        <v>11</v>
      </c>
      <c r="E22">
        <v>67.176209999999998</v>
      </c>
      <c r="F22">
        <v>135.76157000000001</v>
      </c>
      <c r="G22">
        <v>620</v>
      </c>
    </row>
    <row r="23" spans="1:7" x14ac:dyDescent="0.2">
      <c r="A23" s="7" t="s">
        <v>93</v>
      </c>
      <c r="B23">
        <v>71517</v>
      </c>
      <c r="C23">
        <v>33</v>
      </c>
      <c r="D23">
        <v>13</v>
      </c>
      <c r="E23">
        <v>67.176270000000002</v>
      </c>
      <c r="F23">
        <v>135.76176000000001</v>
      </c>
      <c r="G23">
        <v>622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election activeCell="H21" sqref="H21"/>
    </sheetView>
  </sheetViews>
  <sheetFormatPr defaultRowHeight="12.75" x14ac:dyDescent="0.2"/>
  <sheetData>
    <row r="1" spans="1:3" x14ac:dyDescent="0.2">
      <c r="A1" s="7" t="s">
        <v>207</v>
      </c>
    </row>
    <row r="2" spans="1:3" x14ac:dyDescent="0.2">
      <c r="A2" s="7" t="s">
        <v>208</v>
      </c>
      <c r="B2" s="5">
        <v>0.64722222222222225</v>
      </c>
      <c r="C2">
        <v>71817</v>
      </c>
    </row>
    <row r="3" spans="1:3" x14ac:dyDescent="0.2">
      <c r="A3" s="7" t="s">
        <v>209</v>
      </c>
      <c r="B3">
        <v>73</v>
      </c>
      <c r="C3" s="7"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TSS</vt:lpstr>
      <vt:lpstr>YSI</vt:lpstr>
      <vt:lpstr>Discharge</vt:lpstr>
      <vt:lpstr>Slope and Morphometry</vt:lpstr>
      <vt:lpstr>Bed Material</vt:lpstr>
      <vt:lpstr>Active Layer</vt:lpstr>
      <vt:lpstr>Game Camera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Shakil</dc:creator>
  <cp:lastModifiedBy>Sarah Shakil</cp:lastModifiedBy>
  <dcterms:created xsi:type="dcterms:W3CDTF">2017-07-11T19:21:46Z</dcterms:created>
  <dcterms:modified xsi:type="dcterms:W3CDTF">2021-09-07T02:24:51Z</dcterms:modified>
</cp:coreProperties>
</file>