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 Shakil\Documents\PhD_Ch3\Data\"/>
    </mc:Choice>
  </mc:AlternateContent>
  <xr:revisionPtr revIDLastSave="0" documentId="13_ncr:1_{8AE9165E-0694-4699-A1A4-C1D69AF4ECD3}" xr6:coauthVersionLast="47" xr6:coauthVersionMax="47" xr10:uidLastSave="{00000000-0000-0000-0000-000000000000}"/>
  <bookViews>
    <workbookView xWindow="1515" yWindow="1515" windowWidth="25470" windowHeight="13980" xr2:uid="{00000000-000D-0000-FFFF-FFFF00000000}"/>
  </bookViews>
  <sheets>
    <sheet name="PO14C" sheetId="1" r:id="rId1"/>
  </sheets>
  <definedNames>
    <definedName name="PO14C">PO14C!$A$1:$Y$53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" l="1"/>
  <c r="L56" i="1"/>
  <c r="L57" i="1"/>
  <c r="L58" i="1"/>
  <c r="L59" i="1"/>
  <c r="L54" i="1"/>
</calcChain>
</file>

<file path=xl/sharedStrings.xml><?xml version="1.0" encoding="utf-8"?>
<sst xmlns="http://schemas.openxmlformats.org/spreadsheetml/2006/main" count="413" uniqueCount="143">
  <si>
    <t>Slump Site</t>
  </si>
  <si>
    <t>Stream Location</t>
  </si>
  <si>
    <t>Transect Location</t>
  </si>
  <si>
    <t>Sampling Date</t>
  </si>
  <si>
    <t>calBP Rep Number</t>
  </si>
  <si>
    <t>MatCode</t>
  </si>
  <si>
    <t>Modern</t>
  </si>
  <si>
    <t>14C Yr BP (uncalibrated)</t>
  </si>
  <si>
    <t>14C Yr BP error (uncalibrated)</t>
  </si>
  <si>
    <t>F14C</t>
  </si>
  <si>
    <t>F14C error</t>
  </si>
  <si>
    <t>D14Cpermil</t>
  </si>
  <si>
    <t>D14Cpermil error</t>
  </si>
  <si>
    <t>Delta14Cpermil</t>
  </si>
  <si>
    <t>Delta14Cpermil error</t>
  </si>
  <si>
    <t>calBP min</t>
  </si>
  <si>
    <t>calBP max</t>
  </si>
  <si>
    <t>calBP probability</t>
  </si>
  <si>
    <t>Submitter ID</t>
  </si>
  <si>
    <t>UOttawa Lab ID</t>
  </si>
  <si>
    <t>Report Date</t>
  </si>
  <si>
    <t>Analysis Date</t>
  </si>
  <si>
    <t>Notes</t>
  </si>
  <si>
    <t>3</t>
  </si>
  <si>
    <t>NA</t>
  </si>
  <si>
    <t>SS-0000</t>
  </si>
  <si>
    <t>POC</t>
  </si>
  <si>
    <t>3-07222017</t>
  </si>
  <si>
    <t>UOC-7485</t>
  </si>
  <si>
    <t>Analysis Date close to reporting date</t>
  </si>
  <si>
    <t>30</t>
  </si>
  <si>
    <t>A</t>
  </si>
  <si>
    <t>S-30-07142017</t>
  </si>
  <si>
    <t>UOC-7478</t>
  </si>
  <si>
    <t>9-alt</t>
  </si>
  <si>
    <t>S-9-alt-07172017</t>
  </si>
  <si>
    <t>UOC-7479</t>
  </si>
  <si>
    <t>BL</t>
  </si>
  <si>
    <t>Labblank 1 (+Acetanilide)</t>
  </si>
  <si>
    <t>UOC-2311</t>
  </si>
  <si>
    <t>based on date given by Carley in e-mail, data was report May 20th, 2016</t>
  </si>
  <si>
    <t>Field lab blank</t>
  </si>
  <si>
    <t>UOC-7495</t>
  </si>
  <si>
    <t>SA</t>
  </si>
  <si>
    <t>UP</t>
  </si>
  <si>
    <t>DOC</t>
  </si>
  <si>
    <t>Taken from Table 3, Littlefair et al. 2017; Analysis Date approx. Aug-Sept. 2016</t>
  </si>
  <si>
    <t>SB</t>
  </si>
  <si>
    <t>DN</t>
  </si>
  <si>
    <t>SB-D-08132015</t>
  </si>
  <si>
    <t>UOC-2304</t>
  </si>
  <si>
    <t>HW</t>
  </si>
  <si>
    <t>BHO</t>
  </si>
  <si>
    <t>SB-HW-ActiveLayer</t>
  </si>
  <si>
    <t>UOC-7475</t>
  </si>
  <si>
    <t>HOL</t>
  </si>
  <si>
    <t>SB-HW-Holocene</t>
  </si>
  <si>
    <t>UOC-7476</t>
  </si>
  <si>
    <t>OHO</t>
  </si>
  <si>
    <t>SB-HW-OrganicLayer</t>
  </si>
  <si>
    <t>UOC-7474</t>
  </si>
  <si>
    <t>PLE</t>
  </si>
  <si>
    <t>SB-HW-Pleistocene</t>
  </si>
  <si>
    <t>UOC-7477</t>
  </si>
  <si>
    <t>IN</t>
  </si>
  <si>
    <t>SB-W-08132015</t>
  </si>
  <si>
    <t>UOC-2303</t>
  </si>
  <si>
    <t>SB-U-08132015</t>
  </si>
  <si>
    <t>UOC-2302</t>
  </si>
  <si>
    <t>SC</t>
  </si>
  <si>
    <t>SC-D-07022015</t>
  </si>
  <si>
    <t>UOC-2307</t>
  </si>
  <si>
    <t>SC-HW-ActiveLayer</t>
  </si>
  <si>
    <t>UOC-7471</t>
  </si>
  <si>
    <t>SC-HW-Holocene</t>
  </si>
  <si>
    <t>UOC-7472</t>
  </si>
  <si>
    <t>SC-HW-Pleistocene</t>
  </si>
  <si>
    <t>UOC-7473</t>
  </si>
  <si>
    <t>SC-W-07022015</t>
  </si>
  <si>
    <t>UOC-2306</t>
  </si>
  <si>
    <t>SC-U-07022015</t>
  </si>
  <si>
    <t>UOC-2305</t>
  </si>
  <si>
    <t>SC Outlet</t>
  </si>
  <si>
    <t>erosion</t>
  </si>
  <si>
    <t>SCOut-EF-07102017</t>
  </si>
  <si>
    <t>UOC-7480</t>
  </si>
  <si>
    <t>StonyCreek-071017</t>
  </si>
  <si>
    <t>UOC-4783</t>
  </si>
  <si>
    <t>Analysis date close to reporting date so used same data</t>
  </si>
  <si>
    <t>SC-Out-07102017</t>
  </si>
  <si>
    <t>UOC-7494</t>
  </si>
  <si>
    <t>StonyCreek-080717</t>
  </si>
  <si>
    <t>UOC-4800</t>
  </si>
  <si>
    <t>SC-Out-08072017</t>
  </si>
  <si>
    <t>UOC-7493</t>
  </si>
  <si>
    <t>streambank</t>
  </si>
  <si>
    <t>SCOut-SB-08072017</t>
  </si>
  <si>
    <t>UOC-7481</t>
  </si>
  <si>
    <t>SC-3B</t>
  </si>
  <si>
    <t>SC-3B-07272017</t>
  </si>
  <si>
    <t>UOC-7486</t>
  </si>
  <si>
    <t>SC-4B</t>
  </si>
  <si>
    <t>SC-4B-07252017</t>
  </si>
  <si>
    <t>UOC-7487</t>
  </si>
  <si>
    <t>SC-5B</t>
  </si>
  <si>
    <t>SC-5B-07252017</t>
  </si>
  <si>
    <t>UOC-7488</t>
  </si>
  <si>
    <t>SC-6B</t>
  </si>
  <si>
    <t>SC-6B-07252017</t>
  </si>
  <si>
    <t>UOC-7489</t>
  </si>
  <si>
    <t>SC-7B</t>
  </si>
  <si>
    <t>SC-7B-07252017</t>
  </si>
  <si>
    <t>UOC-7490</t>
  </si>
  <si>
    <t>SC-8B</t>
  </si>
  <si>
    <t>SC-8B-07252017</t>
  </si>
  <si>
    <t>UOC-7491</t>
  </si>
  <si>
    <t>SC-9A</t>
  </si>
  <si>
    <t>SC-9-07252017</t>
  </si>
  <si>
    <t>UOC-7492</t>
  </si>
  <si>
    <t>SD</t>
  </si>
  <si>
    <t>SD-D-08162015</t>
  </si>
  <si>
    <t>UOC-2310</t>
  </si>
  <si>
    <t>SD-W-08162015</t>
  </si>
  <si>
    <t>UOC-2309</t>
  </si>
  <si>
    <t>SD-U-08162015</t>
  </si>
  <si>
    <t>UOC-2308</t>
  </si>
  <si>
    <t>SE</t>
  </si>
  <si>
    <t>SL</t>
  </si>
  <si>
    <t>SE-IN-SL-Exp2</t>
  </si>
  <si>
    <t>UOC-7482</t>
  </si>
  <si>
    <t>SM/SC</t>
  </si>
  <si>
    <t>SE-IN-SMSC-Exp2</t>
  </si>
  <si>
    <t>UOC-7483</t>
  </si>
  <si>
    <t>SN</t>
  </si>
  <si>
    <t>SE-IN-SN-Exp2</t>
  </si>
  <si>
    <t>UOC-7484</t>
  </si>
  <si>
    <t>YN</t>
  </si>
  <si>
    <t>Y</t>
  </si>
  <si>
    <t>dist</t>
  </si>
  <si>
    <t>CB</t>
  </si>
  <si>
    <t>Wilson</t>
  </si>
  <si>
    <t>From Lacele et al. 2019 JGR-Biogeosciences - Table1-CBsite-unit2ishol-unit3iaple</t>
  </si>
  <si>
    <t>From Lacele et al. 2019 JGR-Biogeosciences - Table1-Wilsonsite-unit2ishol-unit3iaple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</si>
</sst>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tabSelected="1" topLeftCell="A49" workbookViewId="0">
      <selection activeCell="H60" sqref="H60"/>
    </sheetView>
  </sheetViews>
  <sheetFormatPr defaultRowHeight="15" x14ac:dyDescent="0.25"/>
  <cols>
    <col min="1" max="1" width="10.42578125" bestFit="1" customWidth="1"/>
    <col min="6" max="6" width="13.85546875" bestFit="1" customWidth="1"/>
    <col min="23" max="23" width="11.5703125" bestFit="1" customWidth="1"/>
    <col min="24" max="24" width="12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136</v>
      </c>
      <c r="E1" t="s">
        <v>138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A2" t="s">
        <v>23</v>
      </c>
      <c r="B2" t="s">
        <v>24</v>
      </c>
      <c r="C2" t="s">
        <v>25</v>
      </c>
      <c r="D2" t="s">
        <v>137</v>
      </c>
      <c r="E2">
        <v>0</v>
      </c>
      <c r="F2" s="1">
        <v>42938</v>
      </c>
      <c r="G2">
        <v>1</v>
      </c>
      <c r="H2" t="s">
        <v>26</v>
      </c>
      <c r="I2" t="b">
        <v>0</v>
      </c>
      <c r="J2">
        <v>2751</v>
      </c>
      <c r="K2">
        <v>131</v>
      </c>
      <c r="L2">
        <v>0.71</v>
      </c>
      <c r="M2">
        <v>1.1599999999999999E-2</v>
      </c>
      <c r="N2">
        <v>-289.97000000000003</v>
      </c>
      <c r="O2">
        <v>11.55</v>
      </c>
      <c r="P2">
        <v>-295.77999999999997</v>
      </c>
      <c r="Q2">
        <v>11.46</v>
      </c>
      <c r="R2">
        <v>3317</v>
      </c>
      <c r="S2">
        <v>3312</v>
      </c>
      <c r="T2">
        <v>0.1</v>
      </c>
      <c r="U2" t="s">
        <v>27</v>
      </c>
      <c r="V2" t="s">
        <v>28</v>
      </c>
      <c r="W2" s="1">
        <v>43437</v>
      </c>
      <c r="X2" s="1">
        <v>43437</v>
      </c>
      <c r="Y2" t="s">
        <v>29</v>
      </c>
    </row>
    <row r="3" spans="1:25" x14ac:dyDescent="0.25">
      <c r="A3" t="s">
        <v>23</v>
      </c>
      <c r="B3" t="s">
        <v>24</v>
      </c>
      <c r="C3" t="s">
        <v>25</v>
      </c>
      <c r="F3" s="1">
        <v>42938</v>
      </c>
      <c r="G3">
        <v>2</v>
      </c>
      <c r="H3" t="s">
        <v>26</v>
      </c>
      <c r="I3" t="b">
        <v>0</v>
      </c>
      <c r="R3">
        <v>3241</v>
      </c>
      <c r="S3">
        <v>2680</v>
      </c>
      <c r="T3">
        <v>90</v>
      </c>
      <c r="U3" t="s">
        <v>27</v>
      </c>
      <c r="V3" t="s">
        <v>28</v>
      </c>
      <c r="W3" s="1">
        <v>43437</v>
      </c>
      <c r="X3" s="1">
        <v>43437</v>
      </c>
      <c r="Y3" t="s">
        <v>29</v>
      </c>
    </row>
    <row r="4" spans="1:25" x14ac:dyDescent="0.25">
      <c r="A4" t="s">
        <v>23</v>
      </c>
      <c r="B4" t="s">
        <v>24</v>
      </c>
      <c r="C4" t="s">
        <v>25</v>
      </c>
      <c r="F4" s="1">
        <v>42938</v>
      </c>
      <c r="G4">
        <v>3</v>
      </c>
      <c r="H4" t="s">
        <v>26</v>
      </c>
      <c r="I4" t="b">
        <v>0</v>
      </c>
      <c r="R4">
        <v>2640</v>
      </c>
      <c r="S4">
        <v>2608</v>
      </c>
      <c r="T4">
        <v>1.2</v>
      </c>
      <c r="U4" t="s">
        <v>27</v>
      </c>
      <c r="V4" t="s">
        <v>28</v>
      </c>
      <c r="W4" s="1">
        <v>43437</v>
      </c>
      <c r="X4" s="1">
        <v>43437</v>
      </c>
      <c r="Y4" t="s">
        <v>29</v>
      </c>
    </row>
    <row r="5" spans="1:25" x14ac:dyDescent="0.25">
      <c r="A5" t="s">
        <v>23</v>
      </c>
      <c r="B5" t="s">
        <v>24</v>
      </c>
      <c r="C5" t="s">
        <v>25</v>
      </c>
      <c r="F5" s="1">
        <v>42938</v>
      </c>
      <c r="G5">
        <v>4</v>
      </c>
      <c r="H5" t="s">
        <v>26</v>
      </c>
      <c r="I5" t="b">
        <v>0</v>
      </c>
      <c r="R5">
        <v>2600</v>
      </c>
      <c r="S5">
        <v>2493</v>
      </c>
      <c r="T5">
        <v>4.0999999999999996</v>
      </c>
      <c r="U5" t="s">
        <v>27</v>
      </c>
      <c r="V5" t="s">
        <v>28</v>
      </c>
      <c r="W5" s="1">
        <v>43437</v>
      </c>
      <c r="X5" s="1">
        <v>43437</v>
      </c>
      <c r="Y5" t="s">
        <v>29</v>
      </c>
    </row>
    <row r="6" spans="1:25" x14ac:dyDescent="0.25">
      <c r="A6" t="s">
        <v>30</v>
      </c>
      <c r="B6" t="s">
        <v>24</v>
      </c>
      <c r="C6" t="s">
        <v>25</v>
      </c>
      <c r="F6" s="1">
        <v>42930</v>
      </c>
      <c r="G6">
        <v>1</v>
      </c>
      <c r="H6" t="s">
        <v>31</v>
      </c>
      <c r="I6" t="b">
        <v>0</v>
      </c>
      <c r="J6">
        <v>19724</v>
      </c>
      <c r="K6">
        <v>74</v>
      </c>
      <c r="L6">
        <v>8.5800000000000001E-2</v>
      </c>
      <c r="M6">
        <v>8.0000000000000004E-4</v>
      </c>
      <c r="N6">
        <v>-914.17</v>
      </c>
      <c r="O6">
        <v>0.79</v>
      </c>
      <c r="P6">
        <v>-914.87</v>
      </c>
      <c r="Q6">
        <v>0.79</v>
      </c>
      <c r="R6">
        <v>24008</v>
      </c>
      <c r="S6">
        <v>23510</v>
      </c>
      <c r="T6">
        <v>95.4</v>
      </c>
      <c r="U6" t="s">
        <v>32</v>
      </c>
      <c r="V6" t="s">
        <v>33</v>
      </c>
      <c r="W6" s="1">
        <v>43437</v>
      </c>
      <c r="X6" s="1">
        <v>43437</v>
      </c>
      <c r="Y6" t="s">
        <v>29</v>
      </c>
    </row>
    <row r="7" spans="1:25" x14ac:dyDescent="0.25">
      <c r="A7" t="s">
        <v>34</v>
      </c>
      <c r="B7" t="s">
        <v>24</v>
      </c>
      <c r="C7" t="s">
        <v>25</v>
      </c>
      <c r="F7" s="1">
        <v>42933</v>
      </c>
      <c r="G7">
        <v>1</v>
      </c>
      <c r="H7" t="s">
        <v>31</v>
      </c>
      <c r="I7" t="b">
        <v>0</v>
      </c>
      <c r="J7">
        <v>18148</v>
      </c>
      <c r="K7">
        <v>93</v>
      </c>
      <c r="L7">
        <v>0.10440000000000001</v>
      </c>
      <c r="M7">
        <v>1.1999999999999999E-3</v>
      </c>
      <c r="N7">
        <v>-895.57</v>
      </c>
      <c r="O7">
        <v>1.21</v>
      </c>
      <c r="P7">
        <v>-896.42</v>
      </c>
      <c r="Q7">
        <v>1.2</v>
      </c>
      <c r="R7">
        <v>22308</v>
      </c>
      <c r="S7">
        <v>21753</v>
      </c>
      <c r="T7">
        <v>95.4</v>
      </c>
      <c r="U7" t="s">
        <v>35</v>
      </c>
      <c r="V7" t="s">
        <v>36</v>
      </c>
      <c r="W7" s="1">
        <v>43437</v>
      </c>
      <c r="X7" s="1">
        <v>43437</v>
      </c>
      <c r="Y7" t="s">
        <v>29</v>
      </c>
    </row>
    <row r="8" spans="1:25" x14ac:dyDescent="0.25">
      <c r="A8" t="s">
        <v>37</v>
      </c>
      <c r="B8" t="s">
        <v>37</v>
      </c>
      <c r="C8" t="s">
        <v>25</v>
      </c>
      <c r="F8" s="1">
        <v>42005</v>
      </c>
      <c r="G8">
        <v>1</v>
      </c>
      <c r="H8" t="s">
        <v>26</v>
      </c>
      <c r="I8" t="b">
        <v>0</v>
      </c>
      <c r="J8">
        <v>40899</v>
      </c>
      <c r="K8">
        <v>268</v>
      </c>
      <c r="L8">
        <v>6.1000000000000004E-3</v>
      </c>
      <c r="M8">
        <v>2.0000000000000001E-4</v>
      </c>
      <c r="U8" t="s">
        <v>38</v>
      </c>
      <c r="V8" t="s">
        <v>39</v>
      </c>
      <c r="W8" s="1">
        <v>42510</v>
      </c>
      <c r="X8" s="1">
        <v>42503</v>
      </c>
      <c r="Y8" t="s">
        <v>40</v>
      </c>
    </row>
    <row r="9" spans="1:25" x14ac:dyDescent="0.25">
      <c r="A9" t="s">
        <v>37</v>
      </c>
      <c r="B9" t="s">
        <v>37</v>
      </c>
      <c r="C9" t="s">
        <v>25</v>
      </c>
      <c r="F9" s="1">
        <v>42936</v>
      </c>
      <c r="G9">
        <v>1</v>
      </c>
      <c r="H9" t="s">
        <v>26</v>
      </c>
      <c r="I9" t="b">
        <v>0</v>
      </c>
      <c r="J9">
        <v>32974</v>
      </c>
      <c r="K9">
        <v>209</v>
      </c>
      <c r="L9">
        <v>1.6500000000000001E-2</v>
      </c>
      <c r="M9">
        <v>4.0000000000000002E-4</v>
      </c>
      <c r="N9">
        <v>-983.51</v>
      </c>
      <c r="O9">
        <v>0.43</v>
      </c>
      <c r="P9">
        <v>-983.64</v>
      </c>
      <c r="Q9">
        <v>0.42</v>
      </c>
      <c r="U9" t="s">
        <v>41</v>
      </c>
      <c r="V9" t="s">
        <v>42</v>
      </c>
      <c r="W9" s="1">
        <v>43437</v>
      </c>
      <c r="X9" s="1">
        <v>43437</v>
      </c>
      <c r="Y9" t="s">
        <v>29</v>
      </c>
    </row>
    <row r="10" spans="1:25" x14ac:dyDescent="0.25">
      <c r="A10" t="s">
        <v>43</v>
      </c>
      <c r="B10" t="s">
        <v>44</v>
      </c>
      <c r="C10" t="s">
        <v>25</v>
      </c>
      <c r="F10" s="1">
        <v>42580</v>
      </c>
      <c r="G10">
        <v>1</v>
      </c>
      <c r="H10" t="s">
        <v>45</v>
      </c>
      <c r="I10" t="b">
        <v>0</v>
      </c>
      <c r="J10">
        <v>217</v>
      </c>
      <c r="K10">
        <v>24</v>
      </c>
      <c r="L10">
        <v>0.97340000000000004</v>
      </c>
      <c r="M10">
        <v>2.8999999999999998E-3</v>
      </c>
      <c r="X10" s="1">
        <v>42614</v>
      </c>
      <c r="Y10" t="s">
        <v>46</v>
      </c>
    </row>
    <row r="11" spans="1:25" x14ac:dyDescent="0.25">
      <c r="A11" t="s">
        <v>47</v>
      </c>
      <c r="B11" t="s">
        <v>48</v>
      </c>
      <c r="C11" t="s">
        <v>25</v>
      </c>
      <c r="F11" s="1">
        <v>42229</v>
      </c>
      <c r="G11">
        <v>1</v>
      </c>
      <c r="H11" t="s">
        <v>26</v>
      </c>
      <c r="I11" t="b">
        <v>0</v>
      </c>
      <c r="J11">
        <v>16842</v>
      </c>
      <c r="K11">
        <v>152</v>
      </c>
      <c r="L11">
        <v>0.1229</v>
      </c>
      <c r="M11">
        <v>2.3E-3</v>
      </c>
      <c r="U11" t="s">
        <v>49</v>
      </c>
      <c r="V11" t="s">
        <v>50</v>
      </c>
      <c r="W11" s="1">
        <v>42510</v>
      </c>
      <c r="X11" s="1">
        <v>42503</v>
      </c>
      <c r="Y11" t="s">
        <v>40</v>
      </c>
    </row>
    <row r="12" spans="1:25" x14ac:dyDescent="0.25">
      <c r="A12" t="s">
        <v>47</v>
      </c>
      <c r="B12" t="s">
        <v>51</v>
      </c>
      <c r="C12" t="s">
        <v>52</v>
      </c>
      <c r="F12" s="1">
        <v>42928</v>
      </c>
      <c r="G12">
        <v>1</v>
      </c>
      <c r="H12" t="s">
        <v>31</v>
      </c>
      <c r="I12" t="b">
        <v>0</v>
      </c>
      <c r="J12">
        <v>9331</v>
      </c>
      <c r="K12">
        <v>43</v>
      </c>
      <c r="L12">
        <v>0.313</v>
      </c>
      <c r="M12">
        <v>1.6999999999999999E-3</v>
      </c>
      <c r="N12">
        <v>-687</v>
      </c>
      <c r="O12">
        <v>1.69</v>
      </c>
      <c r="P12">
        <v>-689.56</v>
      </c>
      <c r="Q12">
        <v>1.67</v>
      </c>
      <c r="R12">
        <v>10677</v>
      </c>
      <c r="S12">
        <v>10412</v>
      </c>
      <c r="T12">
        <v>95.4</v>
      </c>
      <c r="U12" t="s">
        <v>53</v>
      </c>
      <c r="V12" t="s">
        <v>54</v>
      </c>
      <c r="W12" s="1">
        <v>43437</v>
      </c>
      <c r="X12" s="1">
        <v>43437</v>
      </c>
      <c r="Y12" t="s">
        <v>29</v>
      </c>
    </row>
    <row r="13" spans="1:25" x14ac:dyDescent="0.25">
      <c r="A13" t="s">
        <v>47</v>
      </c>
      <c r="B13" t="s">
        <v>51</v>
      </c>
      <c r="C13" t="s">
        <v>55</v>
      </c>
      <c r="F13" s="1">
        <v>42928</v>
      </c>
      <c r="G13">
        <v>1</v>
      </c>
      <c r="H13" t="s">
        <v>31</v>
      </c>
      <c r="I13" t="b">
        <v>0</v>
      </c>
      <c r="J13">
        <v>5710</v>
      </c>
      <c r="K13">
        <v>37</v>
      </c>
      <c r="L13">
        <v>0.49120000000000003</v>
      </c>
      <c r="M13">
        <v>2.2000000000000001E-3</v>
      </c>
      <c r="N13">
        <v>-508.76</v>
      </c>
      <c r="O13">
        <v>2.2400000000000002</v>
      </c>
      <c r="P13">
        <v>-512.78</v>
      </c>
      <c r="Q13">
        <v>2.2200000000000002</v>
      </c>
      <c r="R13">
        <v>6628</v>
      </c>
      <c r="S13">
        <v>6585</v>
      </c>
      <c r="T13">
        <v>8.6</v>
      </c>
      <c r="U13" t="s">
        <v>56</v>
      </c>
      <c r="V13" t="s">
        <v>57</v>
      </c>
      <c r="W13" s="1">
        <v>43437</v>
      </c>
      <c r="X13" s="1">
        <v>43437</v>
      </c>
      <c r="Y13" t="s">
        <v>29</v>
      </c>
    </row>
    <row r="14" spans="1:25" x14ac:dyDescent="0.25">
      <c r="A14" t="s">
        <v>47</v>
      </c>
      <c r="B14" t="s">
        <v>51</v>
      </c>
      <c r="C14" t="s">
        <v>55</v>
      </c>
      <c r="F14" s="1">
        <v>42928</v>
      </c>
      <c r="G14">
        <v>2</v>
      </c>
      <c r="H14" t="s">
        <v>31</v>
      </c>
      <c r="I14" t="b">
        <v>0</v>
      </c>
      <c r="R14">
        <v>6569</v>
      </c>
      <c r="S14">
        <v>6409</v>
      </c>
      <c r="T14">
        <v>86.8</v>
      </c>
      <c r="U14" t="s">
        <v>56</v>
      </c>
      <c r="V14" t="s">
        <v>57</v>
      </c>
      <c r="W14" s="1">
        <v>43437</v>
      </c>
      <c r="X14" s="1">
        <v>43437</v>
      </c>
      <c r="Y14" t="s">
        <v>29</v>
      </c>
    </row>
    <row r="15" spans="1:25" x14ac:dyDescent="0.25">
      <c r="A15" t="s">
        <v>47</v>
      </c>
      <c r="B15" t="s">
        <v>51</v>
      </c>
      <c r="C15" t="s">
        <v>58</v>
      </c>
      <c r="F15" s="1">
        <v>42928</v>
      </c>
      <c r="G15">
        <v>1</v>
      </c>
      <c r="H15" t="s">
        <v>31</v>
      </c>
      <c r="I15" t="b">
        <v>0</v>
      </c>
      <c r="J15">
        <v>107</v>
      </c>
      <c r="K15">
        <v>37</v>
      </c>
      <c r="L15">
        <v>0.98680000000000001</v>
      </c>
      <c r="M15">
        <v>4.4999999999999997E-3</v>
      </c>
      <c r="N15">
        <v>-13.23</v>
      </c>
      <c r="O15">
        <v>4.49</v>
      </c>
      <c r="P15">
        <v>-21.3</v>
      </c>
      <c r="Q15">
        <v>4.45</v>
      </c>
      <c r="R15">
        <v>271</v>
      </c>
      <c r="S15">
        <v>186</v>
      </c>
      <c r="T15">
        <v>31.2</v>
      </c>
      <c r="U15" t="s">
        <v>59</v>
      </c>
      <c r="V15" t="s">
        <v>60</v>
      </c>
      <c r="W15" s="1">
        <v>43437</v>
      </c>
      <c r="X15" s="1">
        <v>43437</v>
      </c>
      <c r="Y15" t="s">
        <v>29</v>
      </c>
    </row>
    <row r="16" spans="1:25" x14ac:dyDescent="0.25">
      <c r="A16" t="s">
        <v>47</v>
      </c>
      <c r="B16" t="s">
        <v>51</v>
      </c>
      <c r="C16" t="s">
        <v>58</v>
      </c>
      <c r="F16" s="1">
        <v>42928</v>
      </c>
      <c r="G16">
        <v>2</v>
      </c>
      <c r="H16" t="s">
        <v>31</v>
      </c>
      <c r="I16" t="b">
        <v>0</v>
      </c>
      <c r="R16">
        <v>150</v>
      </c>
      <c r="S16">
        <v>11</v>
      </c>
      <c r="T16">
        <v>64.2</v>
      </c>
      <c r="U16" t="s">
        <v>59</v>
      </c>
      <c r="V16" t="s">
        <v>60</v>
      </c>
      <c r="W16" s="1">
        <v>43437</v>
      </c>
      <c r="X16" s="1">
        <v>43437</v>
      </c>
      <c r="Y16" t="s">
        <v>29</v>
      </c>
    </row>
    <row r="17" spans="1:25" x14ac:dyDescent="0.25">
      <c r="A17" t="s">
        <v>47</v>
      </c>
      <c r="B17" t="s">
        <v>51</v>
      </c>
      <c r="C17" t="s">
        <v>61</v>
      </c>
      <c r="F17" s="1">
        <v>42928</v>
      </c>
      <c r="G17">
        <v>1</v>
      </c>
      <c r="H17" t="s">
        <v>31</v>
      </c>
      <c r="I17" t="b">
        <v>0</v>
      </c>
      <c r="J17">
        <v>44798</v>
      </c>
      <c r="K17">
        <v>556</v>
      </c>
      <c r="L17">
        <v>3.8E-3</v>
      </c>
      <c r="M17">
        <v>2.9999999999999997E-4</v>
      </c>
      <c r="N17">
        <v>-996.22</v>
      </c>
      <c r="O17">
        <v>0.26</v>
      </c>
      <c r="P17">
        <v>-996.25</v>
      </c>
      <c r="Q17">
        <v>0.26</v>
      </c>
      <c r="R17">
        <v>49680</v>
      </c>
      <c r="S17">
        <v>46708</v>
      </c>
      <c r="T17">
        <v>95.4</v>
      </c>
      <c r="U17" t="s">
        <v>62</v>
      </c>
      <c r="V17" t="s">
        <v>63</v>
      </c>
      <c r="W17" s="1">
        <v>43437</v>
      </c>
      <c r="X17" s="1">
        <v>43437</v>
      </c>
      <c r="Y17" t="s">
        <v>29</v>
      </c>
    </row>
    <row r="18" spans="1:25" x14ac:dyDescent="0.25">
      <c r="A18" t="s">
        <v>47</v>
      </c>
      <c r="B18" t="s">
        <v>64</v>
      </c>
      <c r="C18" t="s">
        <v>25</v>
      </c>
      <c r="F18" s="1">
        <v>42229</v>
      </c>
      <c r="G18">
        <v>1</v>
      </c>
      <c r="H18" t="s">
        <v>26</v>
      </c>
      <c r="I18" t="b">
        <v>0</v>
      </c>
      <c r="J18">
        <v>18227</v>
      </c>
      <c r="K18">
        <v>98</v>
      </c>
      <c r="L18">
        <v>0.10340000000000001</v>
      </c>
      <c r="M18">
        <v>1.2999999999999999E-3</v>
      </c>
      <c r="U18" t="s">
        <v>65</v>
      </c>
      <c r="V18" t="s">
        <v>66</v>
      </c>
      <c r="W18" s="1">
        <v>42510</v>
      </c>
      <c r="X18" s="1">
        <v>42503</v>
      </c>
      <c r="Y18" t="s">
        <v>40</v>
      </c>
    </row>
    <row r="19" spans="1:25" x14ac:dyDescent="0.25">
      <c r="A19" t="s">
        <v>47</v>
      </c>
      <c r="B19" t="s">
        <v>64</v>
      </c>
      <c r="C19" t="s">
        <v>25</v>
      </c>
      <c r="F19" s="1">
        <v>42563</v>
      </c>
      <c r="G19">
        <v>1</v>
      </c>
      <c r="H19" t="s">
        <v>45</v>
      </c>
      <c r="I19" t="b">
        <v>0</v>
      </c>
      <c r="J19">
        <v>9592</v>
      </c>
      <c r="K19">
        <v>64</v>
      </c>
      <c r="L19">
        <v>0.30299999999999999</v>
      </c>
      <c r="M19">
        <v>2.3999999999999998E-3</v>
      </c>
      <c r="X19" s="1">
        <v>42614</v>
      </c>
      <c r="Y19" t="s">
        <v>46</v>
      </c>
    </row>
    <row r="20" spans="1:25" x14ac:dyDescent="0.25">
      <c r="A20" t="s">
        <v>47</v>
      </c>
      <c r="B20" t="s">
        <v>44</v>
      </c>
      <c r="C20" t="s">
        <v>25</v>
      </c>
      <c r="F20" s="1">
        <v>42229</v>
      </c>
      <c r="G20">
        <v>1</v>
      </c>
      <c r="H20" t="s">
        <v>26</v>
      </c>
      <c r="I20" t="b">
        <v>0</v>
      </c>
      <c r="J20">
        <v>5226</v>
      </c>
      <c r="K20">
        <v>50</v>
      </c>
      <c r="L20">
        <v>0.52170000000000005</v>
      </c>
      <c r="M20">
        <v>3.2000000000000002E-3</v>
      </c>
      <c r="U20" t="s">
        <v>67</v>
      </c>
      <c r="V20" t="s">
        <v>68</v>
      </c>
      <c r="W20" s="1">
        <v>42510</v>
      </c>
      <c r="X20" s="1">
        <v>42503</v>
      </c>
      <c r="Y20" t="s">
        <v>40</v>
      </c>
    </row>
    <row r="21" spans="1:25" x14ac:dyDescent="0.25">
      <c r="A21" t="s">
        <v>47</v>
      </c>
      <c r="B21" t="s">
        <v>44</v>
      </c>
      <c r="C21" t="s">
        <v>25</v>
      </c>
      <c r="F21" s="1">
        <v>42563</v>
      </c>
      <c r="G21">
        <v>1</v>
      </c>
      <c r="H21" t="s">
        <v>45</v>
      </c>
      <c r="I21" t="b">
        <v>0</v>
      </c>
      <c r="J21">
        <v>192</v>
      </c>
      <c r="K21">
        <v>27</v>
      </c>
      <c r="L21">
        <v>0.97640000000000005</v>
      </c>
      <c r="M21">
        <v>3.2000000000000002E-3</v>
      </c>
      <c r="X21" s="1">
        <v>42614</v>
      </c>
      <c r="Y21" t="s">
        <v>46</v>
      </c>
    </row>
    <row r="22" spans="1:25" x14ac:dyDescent="0.25">
      <c r="A22" t="s">
        <v>69</v>
      </c>
      <c r="B22" t="s">
        <v>48</v>
      </c>
      <c r="C22" t="s">
        <v>25</v>
      </c>
      <c r="F22" s="1">
        <v>42187</v>
      </c>
      <c r="G22">
        <v>1</v>
      </c>
      <c r="H22" t="s">
        <v>26</v>
      </c>
      <c r="I22" t="b">
        <v>0</v>
      </c>
      <c r="J22">
        <v>14977</v>
      </c>
      <c r="K22">
        <v>176</v>
      </c>
      <c r="L22">
        <v>0.155</v>
      </c>
      <c r="M22">
        <v>3.3999999999999998E-3</v>
      </c>
      <c r="U22" t="s">
        <v>70</v>
      </c>
      <c r="V22" t="s">
        <v>71</v>
      </c>
      <c r="W22" s="1">
        <v>42510</v>
      </c>
      <c r="X22" s="1">
        <v>42503</v>
      </c>
      <c r="Y22" t="s">
        <v>40</v>
      </c>
    </row>
    <row r="23" spans="1:25" x14ac:dyDescent="0.25">
      <c r="A23" t="s">
        <v>69</v>
      </c>
      <c r="B23" t="s">
        <v>51</v>
      </c>
      <c r="C23" t="s">
        <v>52</v>
      </c>
      <c r="F23" s="1">
        <v>42929</v>
      </c>
      <c r="G23">
        <v>1</v>
      </c>
      <c r="H23" t="s">
        <v>31</v>
      </c>
      <c r="I23" t="b">
        <v>0</v>
      </c>
      <c r="J23">
        <v>4062</v>
      </c>
      <c r="K23">
        <v>37</v>
      </c>
      <c r="L23">
        <v>0.60309999999999997</v>
      </c>
      <c r="M23">
        <v>2.8E-3</v>
      </c>
      <c r="N23">
        <v>-396.9</v>
      </c>
      <c r="O23">
        <v>2.76</v>
      </c>
      <c r="P23">
        <v>-401.83</v>
      </c>
      <c r="Q23">
        <v>2.73</v>
      </c>
      <c r="R23">
        <v>4802</v>
      </c>
      <c r="S23">
        <v>4761</v>
      </c>
      <c r="T23">
        <v>10.4</v>
      </c>
      <c r="U23" t="s">
        <v>72</v>
      </c>
      <c r="V23" t="s">
        <v>73</v>
      </c>
      <c r="W23" s="1">
        <v>43437</v>
      </c>
      <c r="X23" s="1">
        <v>43437</v>
      </c>
      <c r="Y23" t="s">
        <v>29</v>
      </c>
    </row>
    <row r="24" spans="1:25" x14ac:dyDescent="0.25">
      <c r="A24" t="s">
        <v>69</v>
      </c>
      <c r="B24" t="s">
        <v>51</v>
      </c>
      <c r="C24" t="s">
        <v>52</v>
      </c>
      <c r="F24" s="1">
        <v>42929</v>
      </c>
      <c r="G24">
        <v>2</v>
      </c>
      <c r="H24" t="s">
        <v>31</v>
      </c>
      <c r="I24" t="b">
        <v>0</v>
      </c>
      <c r="R24">
        <v>4693</v>
      </c>
      <c r="S24">
        <v>4675</v>
      </c>
      <c r="T24">
        <v>2.1</v>
      </c>
      <c r="U24" t="s">
        <v>72</v>
      </c>
      <c r="V24" t="s">
        <v>73</v>
      </c>
      <c r="W24" s="1">
        <v>43437</v>
      </c>
      <c r="X24" s="1">
        <v>43437</v>
      </c>
      <c r="Y24" t="s">
        <v>29</v>
      </c>
    </row>
    <row r="25" spans="1:25" x14ac:dyDescent="0.25">
      <c r="A25" t="s">
        <v>69</v>
      </c>
      <c r="B25" t="s">
        <v>51</v>
      </c>
      <c r="C25" t="s">
        <v>52</v>
      </c>
      <c r="F25" s="1">
        <v>42929</v>
      </c>
      <c r="G25">
        <v>3</v>
      </c>
      <c r="H25" t="s">
        <v>31</v>
      </c>
      <c r="I25" t="b">
        <v>0</v>
      </c>
      <c r="R25">
        <v>4645</v>
      </c>
      <c r="S25">
        <v>4429</v>
      </c>
      <c r="T25">
        <v>82.9</v>
      </c>
      <c r="U25" t="s">
        <v>72</v>
      </c>
      <c r="V25" t="s">
        <v>73</v>
      </c>
      <c r="W25" s="1">
        <v>43437</v>
      </c>
      <c r="X25" s="1">
        <v>43437</v>
      </c>
      <c r="Y25" t="s">
        <v>29</v>
      </c>
    </row>
    <row r="26" spans="1:25" x14ac:dyDescent="0.25">
      <c r="A26" t="s">
        <v>69</v>
      </c>
      <c r="B26" t="s">
        <v>51</v>
      </c>
      <c r="C26" t="s">
        <v>55</v>
      </c>
      <c r="F26" s="1">
        <v>42929</v>
      </c>
      <c r="G26">
        <v>1</v>
      </c>
      <c r="H26" t="s">
        <v>31</v>
      </c>
      <c r="I26" t="b">
        <v>0</v>
      </c>
      <c r="J26">
        <v>40344</v>
      </c>
      <c r="K26">
        <v>351</v>
      </c>
      <c r="L26">
        <v>6.6E-3</v>
      </c>
      <c r="M26">
        <v>2.9999999999999997E-4</v>
      </c>
      <c r="N26">
        <v>-993.41</v>
      </c>
      <c r="O26">
        <v>0.28999999999999998</v>
      </c>
      <c r="P26">
        <v>-993.46</v>
      </c>
      <c r="Q26">
        <v>0.28999999999999998</v>
      </c>
      <c r="R26">
        <v>44646</v>
      </c>
      <c r="S26">
        <v>43216</v>
      </c>
      <c r="T26">
        <v>95.4</v>
      </c>
      <c r="U26" t="s">
        <v>74</v>
      </c>
      <c r="V26" t="s">
        <v>75</v>
      </c>
      <c r="W26" s="1">
        <v>43437</v>
      </c>
      <c r="X26" s="1">
        <v>43437</v>
      </c>
      <c r="Y26" t="s">
        <v>29</v>
      </c>
    </row>
    <row r="27" spans="1:25" x14ac:dyDescent="0.25">
      <c r="A27" t="s">
        <v>69</v>
      </c>
      <c r="B27" t="s">
        <v>51</v>
      </c>
      <c r="C27" t="s">
        <v>61</v>
      </c>
      <c r="F27" s="1">
        <v>42929</v>
      </c>
      <c r="G27">
        <v>1</v>
      </c>
      <c r="H27" t="s">
        <v>31</v>
      </c>
      <c r="I27" t="b">
        <v>0</v>
      </c>
      <c r="J27">
        <v>47803</v>
      </c>
      <c r="K27">
        <v>763</v>
      </c>
      <c r="L27">
        <v>2.5999999999999999E-3</v>
      </c>
      <c r="M27">
        <v>2.0000000000000001E-4</v>
      </c>
      <c r="N27">
        <v>-997.4</v>
      </c>
      <c r="O27">
        <v>0.25</v>
      </c>
      <c r="P27">
        <v>-997.42</v>
      </c>
      <c r="Q27">
        <v>0.25</v>
      </c>
      <c r="R27">
        <v>49162</v>
      </c>
      <c r="S27">
        <v>46661</v>
      </c>
      <c r="T27">
        <v>95.4</v>
      </c>
      <c r="U27" t="s">
        <v>76</v>
      </c>
      <c r="V27" t="s">
        <v>77</v>
      </c>
      <c r="W27" s="1">
        <v>43437</v>
      </c>
      <c r="X27" s="1">
        <v>43437</v>
      </c>
      <c r="Y27" t="s">
        <v>29</v>
      </c>
    </row>
    <row r="28" spans="1:25" x14ac:dyDescent="0.25">
      <c r="A28" t="s">
        <v>69</v>
      </c>
      <c r="B28" t="s">
        <v>64</v>
      </c>
      <c r="C28" t="s">
        <v>25</v>
      </c>
      <c r="F28" s="1">
        <v>42187</v>
      </c>
      <c r="G28">
        <v>1</v>
      </c>
      <c r="H28" t="s">
        <v>26</v>
      </c>
      <c r="I28" t="b">
        <v>0</v>
      </c>
      <c r="J28">
        <v>16177</v>
      </c>
      <c r="K28">
        <v>155</v>
      </c>
      <c r="L28">
        <v>0.13350000000000001</v>
      </c>
      <c r="M28">
        <v>2.5999999999999999E-3</v>
      </c>
      <c r="U28" t="s">
        <v>78</v>
      </c>
      <c r="V28" t="s">
        <v>79</v>
      </c>
      <c r="W28" s="1">
        <v>42510</v>
      </c>
      <c r="X28" s="1">
        <v>42503</v>
      </c>
      <c r="Y28" t="s">
        <v>40</v>
      </c>
    </row>
    <row r="29" spans="1:25" x14ac:dyDescent="0.25">
      <c r="A29" t="s">
        <v>69</v>
      </c>
      <c r="B29" t="s">
        <v>64</v>
      </c>
      <c r="C29" t="s">
        <v>25</v>
      </c>
      <c r="F29" s="1">
        <v>42564</v>
      </c>
      <c r="G29">
        <v>1</v>
      </c>
      <c r="H29" t="s">
        <v>45</v>
      </c>
      <c r="I29" t="b">
        <v>0</v>
      </c>
      <c r="J29">
        <v>8167</v>
      </c>
      <c r="K29">
        <v>39</v>
      </c>
      <c r="L29">
        <v>0.36180000000000001</v>
      </c>
      <c r="M29">
        <v>1.8E-3</v>
      </c>
      <c r="X29" s="1">
        <v>42614</v>
      </c>
      <c r="Y29" t="s">
        <v>46</v>
      </c>
    </row>
    <row r="30" spans="1:25" x14ac:dyDescent="0.25">
      <c r="A30" t="s">
        <v>69</v>
      </c>
      <c r="B30" t="s">
        <v>44</v>
      </c>
      <c r="C30" t="s">
        <v>25</v>
      </c>
      <c r="F30" s="1">
        <v>42187</v>
      </c>
      <c r="G30">
        <v>1</v>
      </c>
      <c r="H30" t="s">
        <v>26</v>
      </c>
      <c r="I30" t="b">
        <v>0</v>
      </c>
      <c r="J30">
        <v>10601</v>
      </c>
      <c r="K30">
        <v>150</v>
      </c>
      <c r="L30">
        <v>0.26719999999999999</v>
      </c>
      <c r="M30">
        <v>5.0000000000000001E-3</v>
      </c>
      <c r="U30" t="s">
        <v>80</v>
      </c>
      <c r="V30" t="s">
        <v>81</v>
      </c>
      <c r="W30" s="1">
        <v>42510</v>
      </c>
      <c r="X30" s="1">
        <v>42503</v>
      </c>
      <c r="Y30" t="s">
        <v>40</v>
      </c>
    </row>
    <row r="31" spans="1:25" x14ac:dyDescent="0.25">
      <c r="A31" t="s">
        <v>69</v>
      </c>
      <c r="B31" t="s">
        <v>44</v>
      </c>
      <c r="C31" t="s">
        <v>25</v>
      </c>
      <c r="F31" s="1">
        <v>42564</v>
      </c>
      <c r="G31">
        <v>1</v>
      </c>
      <c r="H31" t="s">
        <v>45</v>
      </c>
      <c r="I31" t="b">
        <v>1</v>
      </c>
      <c r="L31">
        <v>1.0023</v>
      </c>
      <c r="M31">
        <v>3.0000000000000001E-3</v>
      </c>
      <c r="X31" s="1">
        <v>42614</v>
      </c>
      <c r="Y31" t="s">
        <v>46</v>
      </c>
    </row>
    <row r="32" spans="1:25" x14ac:dyDescent="0.25">
      <c r="A32" t="s">
        <v>82</v>
      </c>
      <c r="B32" t="s">
        <v>83</v>
      </c>
      <c r="C32" t="s">
        <v>25</v>
      </c>
      <c r="F32" s="1">
        <v>42926</v>
      </c>
      <c r="G32">
        <v>1</v>
      </c>
      <c r="H32" t="s">
        <v>31</v>
      </c>
      <c r="I32" t="b">
        <v>0</v>
      </c>
      <c r="J32">
        <v>10644</v>
      </c>
      <c r="K32">
        <v>40</v>
      </c>
      <c r="L32">
        <v>0.26579999999999998</v>
      </c>
      <c r="M32">
        <v>1.2999999999999999E-3</v>
      </c>
      <c r="N32">
        <v>-734.2</v>
      </c>
      <c r="O32">
        <v>1.32</v>
      </c>
      <c r="P32">
        <v>-736.37</v>
      </c>
      <c r="Q32">
        <v>1.31</v>
      </c>
      <c r="R32">
        <v>12701</v>
      </c>
      <c r="S32">
        <v>12556</v>
      </c>
      <c r="T32">
        <v>95.4</v>
      </c>
      <c r="U32" t="s">
        <v>84</v>
      </c>
      <c r="V32" t="s">
        <v>85</v>
      </c>
      <c r="W32" s="1">
        <v>43437</v>
      </c>
    </row>
    <row r="33" spans="1:25" x14ac:dyDescent="0.25">
      <c r="A33" t="s">
        <v>82</v>
      </c>
      <c r="B33" t="s">
        <v>24</v>
      </c>
      <c r="C33" t="s">
        <v>25</v>
      </c>
      <c r="E33">
        <v>90</v>
      </c>
      <c r="F33" s="1">
        <v>42926</v>
      </c>
      <c r="G33">
        <v>1</v>
      </c>
      <c r="H33" t="s">
        <v>45</v>
      </c>
      <c r="I33" t="b">
        <v>0</v>
      </c>
      <c r="J33">
        <v>655</v>
      </c>
      <c r="K33">
        <v>24</v>
      </c>
      <c r="L33">
        <v>0.92171000000000003</v>
      </c>
      <c r="M33">
        <v>2.7000000000000001E-3</v>
      </c>
      <c r="N33">
        <v>-78.290000000000006</v>
      </c>
      <c r="O33">
        <v>2.7</v>
      </c>
      <c r="P33">
        <v>-85.72</v>
      </c>
      <c r="Q33">
        <v>2.68</v>
      </c>
      <c r="U33" t="s">
        <v>86</v>
      </c>
      <c r="V33" t="s">
        <v>87</v>
      </c>
      <c r="W33" s="1">
        <v>42985</v>
      </c>
      <c r="X33" s="1">
        <v>42985</v>
      </c>
      <c r="Y33" t="s">
        <v>88</v>
      </c>
    </row>
    <row r="34" spans="1:25" x14ac:dyDescent="0.25">
      <c r="A34" t="s">
        <v>82</v>
      </c>
      <c r="B34" t="s">
        <v>24</v>
      </c>
      <c r="C34" t="s">
        <v>25</v>
      </c>
      <c r="D34" t="s">
        <v>137</v>
      </c>
      <c r="E34">
        <v>90</v>
      </c>
      <c r="F34" s="1">
        <v>42926</v>
      </c>
      <c r="G34">
        <v>1</v>
      </c>
      <c r="H34" t="s">
        <v>26</v>
      </c>
      <c r="I34" t="b">
        <v>0</v>
      </c>
      <c r="J34">
        <v>17685</v>
      </c>
      <c r="K34">
        <v>342</v>
      </c>
      <c r="L34">
        <v>0.1106</v>
      </c>
      <c r="M34">
        <v>4.7000000000000002E-3</v>
      </c>
      <c r="N34">
        <v>-889.37</v>
      </c>
      <c r="O34">
        <v>4.71</v>
      </c>
      <c r="P34">
        <v>-890.27</v>
      </c>
      <c r="Q34">
        <v>4.67</v>
      </c>
      <c r="R34">
        <v>22286</v>
      </c>
      <c r="S34">
        <v>20581</v>
      </c>
      <c r="T34">
        <v>95.4</v>
      </c>
      <c r="U34" t="s">
        <v>89</v>
      </c>
      <c r="V34" t="s">
        <v>90</v>
      </c>
      <c r="W34" s="1">
        <v>43437</v>
      </c>
    </row>
    <row r="35" spans="1:25" x14ac:dyDescent="0.25">
      <c r="A35" t="s">
        <v>82</v>
      </c>
      <c r="B35" t="s">
        <v>24</v>
      </c>
      <c r="C35" t="s">
        <v>25</v>
      </c>
      <c r="E35">
        <v>90</v>
      </c>
      <c r="F35" s="1">
        <v>42954</v>
      </c>
      <c r="G35">
        <v>1</v>
      </c>
      <c r="H35" t="s">
        <v>45</v>
      </c>
      <c r="I35" t="b">
        <v>0</v>
      </c>
      <c r="J35">
        <v>790</v>
      </c>
      <c r="K35">
        <v>45</v>
      </c>
      <c r="L35">
        <v>0.90632999999999997</v>
      </c>
      <c r="M35">
        <v>5.0800000000000003E-3</v>
      </c>
      <c r="N35">
        <v>-93.67</v>
      </c>
      <c r="O35">
        <v>5.08</v>
      </c>
      <c r="P35">
        <v>-100.97</v>
      </c>
      <c r="Q35">
        <v>5.04</v>
      </c>
      <c r="U35" t="s">
        <v>91</v>
      </c>
      <c r="V35" t="s">
        <v>92</v>
      </c>
      <c r="W35" s="1">
        <v>43004</v>
      </c>
      <c r="X35" s="1">
        <v>43004</v>
      </c>
      <c r="Y35" t="s">
        <v>88</v>
      </c>
    </row>
    <row r="36" spans="1:25" x14ac:dyDescent="0.25">
      <c r="A36" t="s">
        <v>82</v>
      </c>
      <c r="B36" t="s">
        <v>24</v>
      </c>
      <c r="C36" t="s">
        <v>25</v>
      </c>
      <c r="D36" t="s">
        <v>137</v>
      </c>
      <c r="E36">
        <v>90</v>
      </c>
      <c r="F36" s="1">
        <v>42954</v>
      </c>
      <c r="G36">
        <v>1</v>
      </c>
      <c r="H36" t="s">
        <v>26</v>
      </c>
      <c r="I36" t="b">
        <v>0</v>
      </c>
      <c r="J36">
        <v>18650</v>
      </c>
      <c r="K36">
        <v>262</v>
      </c>
      <c r="L36">
        <v>9.8100000000000007E-2</v>
      </c>
      <c r="M36">
        <v>3.2000000000000002E-3</v>
      </c>
      <c r="N36">
        <v>-901.89</v>
      </c>
      <c r="O36">
        <v>3.2</v>
      </c>
      <c r="P36">
        <v>-902.69</v>
      </c>
      <c r="Q36">
        <v>3.17</v>
      </c>
      <c r="R36">
        <v>23145</v>
      </c>
      <c r="S36">
        <v>21895</v>
      </c>
      <c r="T36">
        <v>95.4</v>
      </c>
      <c r="U36" t="s">
        <v>93</v>
      </c>
      <c r="V36" t="s">
        <v>94</v>
      </c>
      <c r="W36" s="1">
        <v>43437</v>
      </c>
      <c r="X36" s="1">
        <v>43437</v>
      </c>
      <c r="Y36" t="s">
        <v>29</v>
      </c>
    </row>
    <row r="37" spans="1:25" x14ac:dyDescent="0.25">
      <c r="A37" t="s">
        <v>82</v>
      </c>
      <c r="B37" t="s">
        <v>95</v>
      </c>
      <c r="C37" t="s">
        <v>25</v>
      </c>
      <c r="F37" s="1">
        <v>42954</v>
      </c>
      <c r="G37">
        <v>1</v>
      </c>
      <c r="H37" t="s">
        <v>31</v>
      </c>
      <c r="I37" t="b">
        <v>0</v>
      </c>
      <c r="J37">
        <v>9071</v>
      </c>
      <c r="K37">
        <v>38</v>
      </c>
      <c r="L37">
        <v>0.32329999999999998</v>
      </c>
      <c r="M37">
        <v>1.5E-3</v>
      </c>
      <c r="N37">
        <v>-676.73</v>
      </c>
      <c r="O37">
        <v>1.53</v>
      </c>
      <c r="P37">
        <v>-679.37</v>
      </c>
      <c r="Q37">
        <v>1.52</v>
      </c>
      <c r="R37">
        <v>10268</v>
      </c>
      <c r="S37">
        <v>10185</v>
      </c>
      <c r="T37">
        <v>95.4</v>
      </c>
      <c r="U37" t="s">
        <v>96</v>
      </c>
      <c r="V37" t="s">
        <v>97</v>
      </c>
      <c r="W37" s="1">
        <v>43437</v>
      </c>
      <c r="X37" s="1">
        <v>43437</v>
      </c>
      <c r="Y37" t="s">
        <v>29</v>
      </c>
    </row>
    <row r="38" spans="1:25" x14ac:dyDescent="0.25">
      <c r="A38" t="s">
        <v>98</v>
      </c>
      <c r="B38" t="s">
        <v>24</v>
      </c>
      <c r="C38" t="s">
        <v>25</v>
      </c>
      <c r="D38" t="s">
        <v>137</v>
      </c>
      <c r="E38">
        <v>14</v>
      </c>
      <c r="F38" s="1">
        <v>42943</v>
      </c>
      <c r="G38">
        <v>1</v>
      </c>
      <c r="H38" t="s">
        <v>26</v>
      </c>
      <c r="I38" t="b">
        <v>0</v>
      </c>
      <c r="J38">
        <v>18744</v>
      </c>
      <c r="K38">
        <v>221</v>
      </c>
      <c r="L38">
        <v>9.7000000000000003E-2</v>
      </c>
      <c r="M38">
        <v>2.7000000000000001E-3</v>
      </c>
      <c r="N38">
        <v>-903.03</v>
      </c>
      <c r="O38">
        <v>2.67</v>
      </c>
      <c r="P38">
        <v>-903.83</v>
      </c>
      <c r="Q38">
        <v>2.65</v>
      </c>
      <c r="R38">
        <v>23208</v>
      </c>
      <c r="S38">
        <v>22113</v>
      </c>
      <c r="T38">
        <v>95.4</v>
      </c>
      <c r="U38" t="s">
        <v>99</v>
      </c>
      <c r="V38" t="s">
        <v>100</v>
      </c>
      <c r="W38" s="1">
        <v>43437</v>
      </c>
      <c r="X38" s="1">
        <v>43437</v>
      </c>
      <c r="Y38" t="s">
        <v>29</v>
      </c>
    </row>
    <row r="39" spans="1:25" x14ac:dyDescent="0.25">
      <c r="A39" t="s">
        <v>101</v>
      </c>
      <c r="B39" t="s">
        <v>24</v>
      </c>
      <c r="C39" t="s">
        <v>25</v>
      </c>
      <c r="D39" t="s">
        <v>137</v>
      </c>
      <c r="E39">
        <v>30</v>
      </c>
      <c r="F39" s="1">
        <v>42941</v>
      </c>
      <c r="G39">
        <v>1</v>
      </c>
      <c r="H39" t="s">
        <v>26</v>
      </c>
      <c r="I39" t="b">
        <v>0</v>
      </c>
      <c r="J39">
        <v>14189</v>
      </c>
      <c r="K39">
        <v>164</v>
      </c>
      <c r="L39">
        <v>0.17100000000000001</v>
      </c>
      <c r="M39">
        <v>3.5000000000000001E-3</v>
      </c>
      <c r="N39">
        <v>-829.03</v>
      </c>
      <c r="O39">
        <v>3.49</v>
      </c>
      <c r="P39">
        <v>-830.43</v>
      </c>
      <c r="Q39">
        <v>3.46</v>
      </c>
      <c r="R39">
        <v>17722</v>
      </c>
      <c r="S39">
        <v>16737</v>
      </c>
      <c r="T39">
        <v>95.4</v>
      </c>
      <c r="U39" t="s">
        <v>102</v>
      </c>
      <c r="V39" t="s">
        <v>103</v>
      </c>
      <c r="W39" s="1">
        <v>43437</v>
      </c>
      <c r="X39" s="1">
        <v>43437</v>
      </c>
      <c r="Y39" t="s">
        <v>29</v>
      </c>
    </row>
    <row r="40" spans="1:25" x14ac:dyDescent="0.25">
      <c r="A40" t="s">
        <v>104</v>
      </c>
      <c r="B40" t="s">
        <v>24</v>
      </c>
      <c r="C40" t="s">
        <v>25</v>
      </c>
      <c r="D40" t="s">
        <v>137</v>
      </c>
      <c r="E40">
        <v>38</v>
      </c>
      <c r="F40" s="1">
        <v>42941</v>
      </c>
      <c r="G40">
        <v>1</v>
      </c>
      <c r="H40" t="s">
        <v>26</v>
      </c>
      <c r="I40" t="b">
        <v>0</v>
      </c>
      <c r="J40">
        <v>13159</v>
      </c>
      <c r="K40">
        <v>172</v>
      </c>
      <c r="L40">
        <v>0.19439999999999999</v>
      </c>
      <c r="M40">
        <v>4.1999999999999997E-3</v>
      </c>
      <c r="N40">
        <v>-805.65</v>
      </c>
      <c r="O40">
        <v>4.17</v>
      </c>
      <c r="P40">
        <v>-807.24</v>
      </c>
      <c r="Q40">
        <v>4.1399999999999997</v>
      </c>
      <c r="R40">
        <v>16261</v>
      </c>
      <c r="S40">
        <v>15262</v>
      </c>
      <c r="T40">
        <v>95.4</v>
      </c>
      <c r="U40" t="s">
        <v>105</v>
      </c>
      <c r="V40" t="s">
        <v>106</v>
      </c>
      <c r="W40" s="1">
        <v>43437</v>
      </c>
      <c r="X40" s="1">
        <v>43437</v>
      </c>
      <c r="Y40" t="s">
        <v>29</v>
      </c>
    </row>
    <row r="41" spans="1:25" x14ac:dyDescent="0.25">
      <c r="A41" t="s">
        <v>107</v>
      </c>
      <c r="B41" t="s">
        <v>24</v>
      </c>
      <c r="C41" t="s">
        <v>25</v>
      </c>
      <c r="D41" t="s">
        <v>137</v>
      </c>
      <c r="E41">
        <v>48</v>
      </c>
      <c r="F41" s="1">
        <v>42941</v>
      </c>
      <c r="G41">
        <v>1</v>
      </c>
      <c r="H41" t="s">
        <v>26</v>
      </c>
      <c r="I41" t="b">
        <v>0</v>
      </c>
      <c r="J41">
        <v>15202</v>
      </c>
      <c r="K41">
        <v>224</v>
      </c>
      <c r="L41">
        <v>0.1507</v>
      </c>
      <c r="M41">
        <v>4.1999999999999997E-3</v>
      </c>
      <c r="N41">
        <v>-849.29</v>
      </c>
      <c r="O41">
        <v>4.2</v>
      </c>
      <c r="P41">
        <v>-850.53</v>
      </c>
      <c r="Q41">
        <v>4.16</v>
      </c>
      <c r="R41">
        <v>18897</v>
      </c>
      <c r="S41">
        <v>17949</v>
      </c>
      <c r="T41">
        <v>95.4</v>
      </c>
      <c r="U41" t="s">
        <v>108</v>
      </c>
      <c r="V41" t="s">
        <v>109</v>
      </c>
      <c r="W41" s="1">
        <v>43437</v>
      </c>
      <c r="X41" s="1">
        <v>43437</v>
      </c>
      <c r="Y41" t="s">
        <v>29</v>
      </c>
    </row>
    <row r="42" spans="1:25" x14ac:dyDescent="0.25">
      <c r="A42" t="s">
        <v>110</v>
      </c>
      <c r="B42" t="s">
        <v>24</v>
      </c>
      <c r="C42" t="s">
        <v>25</v>
      </c>
      <c r="D42" t="s">
        <v>137</v>
      </c>
      <c r="E42">
        <v>58</v>
      </c>
      <c r="F42" s="1">
        <v>42941</v>
      </c>
      <c r="G42">
        <v>1</v>
      </c>
      <c r="H42" t="s">
        <v>26</v>
      </c>
      <c r="I42" t="b">
        <v>0</v>
      </c>
      <c r="J42">
        <v>13981</v>
      </c>
      <c r="K42">
        <v>100</v>
      </c>
      <c r="L42">
        <v>0.1754</v>
      </c>
      <c r="M42">
        <v>2.2000000000000001E-3</v>
      </c>
      <c r="N42">
        <v>-824.56</v>
      </c>
      <c r="O42">
        <v>2.1800000000000002</v>
      </c>
      <c r="P42">
        <v>-826</v>
      </c>
      <c r="Q42">
        <v>2.17</v>
      </c>
      <c r="R42">
        <v>17336</v>
      </c>
      <c r="S42">
        <v>16599</v>
      </c>
      <c r="T42">
        <v>95.4</v>
      </c>
      <c r="U42" t="s">
        <v>111</v>
      </c>
      <c r="V42" t="s">
        <v>112</v>
      </c>
      <c r="W42" s="1">
        <v>43437</v>
      </c>
      <c r="X42" s="1">
        <v>43437</v>
      </c>
      <c r="Y42" t="s">
        <v>29</v>
      </c>
    </row>
    <row r="43" spans="1:25" x14ac:dyDescent="0.25">
      <c r="A43" t="s">
        <v>113</v>
      </c>
      <c r="B43" t="s">
        <v>24</v>
      </c>
      <c r="C43" t="s">
        <v>25</v>
      </c>
      <c r="D43" t="s">
        <v>137</v>
      </c>
      <c r="E43">
        <v>70</v>
      </c>
      <c r="F43" s="1">
        <v>42941</v>
      </c>
      <c r="G43">
        <v>1</v>
      </c>
      <c r="H43" t="s">
        <v>26</v>
      </c>
      <c r="I43" t="b">
        <v>0</v>
      </c>
      <c r="J43">
        <v>11782</v>
      </c>
      <c r="K43">
        <v>58</v>
      </c>
      <c r="L43">
        <v>0.23069999999999999</v>
      </c>
      <c r="M43">
        <v>1.6999999999999999E-3</v>
      </c>
      <c r="N43">
        <v>-769.32</v>
      </c>
      <c r="O43">
        <v>1.68</v>
      </c>
      <c r="P43">
        <v>-771.2</v>
      </c>
      <c r="Q43">
        <v>1.66</v>
      </c>
      <c r="R43">
        <v>13741</v>
      </c>
      <c r="S43">
        <v>13474</v>
      </c>
      <c r="T43">
        <v>95.4</v>
      </c>
      <c r="U43" t="s">
        <v>114</v>
      </c>
      <c r="V43" t="s">
        <v>115</v>
      </c>
      <c r="W43" s="1">
        <v>43437</v>
      </c>
      <c r="X43" s="1">
        <v>43437</v>
      </c>
      <c r="Y43" t="s">
        <v>29</v>
      </c>
    </row>
    <row r="44" spans="1:25" x14ac:dyDescent="0.25">
      <c r="A44" t="s">
        <v>116</v>
      </c>
      <c r="B44" t="s">
        <v>24</v>
      </c>
      <c r="C44" t="s">
        <v>25</v>
      </c>
      <c r="D44" t="s">
        <v>137</v>
      </c>
      <c r="E44">
        <v>85</v>
      </c>
      <c r="F44" s="1">
        <v>42941</v>
      </c>
      <c r="G44">
        <v>1</v>
      </c>
      <c r="H44" t="s">
        <v>26</v>
      </c>
      <c r="I44" t="b">
        <v>0</v>
      </c>
      <c r="J44">
        <v>13113</v>
      </c>
      <c r="K44">
        <v>146</v>
      </c>
      <c r="L44">
        <v>0.19550000000000001</v>
      </c>
      <c r="M44">
        <v>3.5999999999999999E-3</v>
      </c>
      <c r="N44">
        <v>-804.55</v>
      </c>
      <c r="O44">
        <v>3.56</v>
      </c>
      <c r="P44">
        <v>-806.15</v>
      </c>
      <c r="Q44">
        <v>3.53</v>
      </c>
      <c r="R44">
        <v>16145</v>
      </c>
      <c r="S44">
        <v>15265</v>
      </c>
      <c r="T44">
        <v>95.4</v>
      </c>
      <c r="U44" t="s">
        <v>117</v>
      </c>
      <c r="V44" t="s">
        <v>118</v>
      </c>
      <c r="W44" s="1">
        <v>43437</v>
      </c>
      <c r="X44" s="1">
        <v>43437</v>
      </c>
      <c r="Y44" t="s">
        <v>29</v>
      </c>
    </row>
    <row r="45" spans="1:25" x14ac:dyDescent="0.25">
      <c r="A45" t="s">
        <v>119</v>
      </c>
      <c r="B45" t="s">
        <v>48</v>
      </c>
      <c r="C45" t="s">
        <v>25</v>
      </c>
      <c r="F45" s="1">
        <v>42232</v>
      </c>
      <c r="G45">
        <v>1</v>
      </c>
      <c r="H45" t="s">
        <v>26</v>
      </c>
      <c r="I45" t="b">
        <v>0</v>
      </c>
      <c r="J45">
        <v>5478</v>
      </c>
      <c r="K45">
        <v>92</v>
      </c>
      <c r="L45">
        <v>0.50560000000000005</v>
      </c>
      <c r="M45">
        <v>5.7999999999999996E-3</v>
      </c>
      <c r="U45" t="s">
        <v>120</v>
      </c>
      <c r="V45" t="s">
        <v>121</v>
      </c>
      <c r="W45" s="1">
        <v>42510</v>
      </c>
      <c r="X45" s="1">
        <v>42503</v>
      </c>
      <c r="Y45" t="s">
        <v>40</v>
      </c>
    </row>
    <row r="46" spans="1:25" x14ac:dyDescent="0.25">
      <c r="A46" t="s">
        <v>119</v>
      </c>
      <c r="B46" t="s">
        <v>64</v>
      </c>
      <c r="C46" t="s">
        <v>25</v>
      </c>
      <c r="F46" s="1">
        <v>42232</v>
      </c>
      <c r="G46">
        <v>1</v>
      </c>
      <c r="H46" t="s">
        <v>26</v>
      </c>
      <c r="I46" t="b">
        <v>0</v>
      </c>
      <c r="J46">
        <v>3183</v>
      </c>
      <c r="K46">
        <v>27</v>
      </c>
      <c r="L46">
        <v>0.67290000000000005</v>
      </c>
      <c r="M46">
        <v>2.3E-3</v>
      </c>
      <c r="U46" t="s">
        <v>122</v>
      </c>
      <c r="V46" t="s">
        <v>123</v>
      </c>
      <c r="W46" s="1">
        <v>42510</v>
      </c>
      <c r="X46" s="1">
        <v>42503</v>
      </c>
      <c r="Y46" t="s">
        <v>40</v>
      </c>
    </row>
    <row r="47" spans="1:25" x14ac:dyDescent="0.25">
      <c r="A47" t="s">
        <v>119</v>
      </c>
      <c r="B47" t="s">
        <v>64</v>
      </c>
      <c r="C47" t="s">
        <v>25</v>
      </c>
      <c r="F47" s="1">
        <v>42570</v>
      </c>
      <c r="G47">
        <v>1</v>
      </c>
      <c r="H47" t="s">
        <v>45</v>
      </c>
      <c r="I47" t="b">
        <v>0</v>
      </c>
      <c r="J47">
        <v>1157</v>
      </c>
      <c r="K47">
        <v>23</v>
      </c>
      <c r="L47">
        <v>0.8659</v>
      </c>
      <c r="M47">
        <v>2.5000000000000001E-3</v>
      </c>
      <c r="X47" s="1">
        <v>42614</v>
      </c>
      <c r="Y47" t="s">
        <v>46</v>
      </c>
    </row>
    <row r="48" spans="1:25" x14ac:dyDescent="0.25">
      <c r="A48" t="s">
        <v>119</v>
      </c>
      <c r="B48" t="s">
        <v>44</v>
      </c>
      <c r="C48" t="s">
        <v>25</v>
      </c>
      <c r="F48" s="1">
        <v>42232</v>
      </c>
      <c r="G48">
        <v>1</v>
      </c>
      <c r="H48" t="s">
        <v>26</v>
      </c>
      <c r="I48" t="b">
        <v>0</v>
      </c>
      <c r="J48">
        <v>1399</v>
      </c>
      <c r="K48">
        <v>39</v>
      </c>
      <c r="L48">
        <v>0.84019999999999995</v>
      </c>
      <c r="M48">
        <v>4.1000000000000003E-3</v>
      </c>
      <c r="U48" t="s">
        <v>124</v>
      </c>
      <c r="V48" t="s">
        <v>125</v>
      </c>
      <c r="W48" s="1">
        <v>42510</v>
      </c>
      <c r="X48" s="1">
        <v>42503</v>
      </c>
      <c r="Y48" t="s">
        <v>40</v>
      </c>
    </row>
    <row r="49" spans="1:25" x14ac:dyDescent="0.25">
      <c r="A49" t="s">
        <v>119</v>
      </c>
      <c r="B49" t="s">
        <v>44</v>
      </c>
      <c r="C49" t="s">
        <v>25</v>
      </c>
      <c r="F49" s="1">
        <v>42570</v>
      </c>
      <c r="G49">
        <v>1</v>
      </c>
      <c r="H49" t="s">
        <v>45</v>
      </c>
      <c r="I49" t="b">
        <v>1</v>
      </c>
      <c r="L49">
        <v>1.0216000000000001</v>
      </c>
      <c r="M49">
        <v>3.5000000000000001E-3</v>
      </c>
      <c r="X49" s="1">
        <v>42614</v>
      </c>
      <c r="Y49" t="s">
        <v>46</v>
      </c>
    </row>
    <row r="50" spans="1:25" x14ac:dyDescent="0.25">
      <c r="A50" t="s">
        <v>126</v>
      </c>
      <c r="B50" t="s">
        <v>64</v>
      </c>
      <c r="C50" t="s">
        <v>127</v>
      </c>
      <c r="F50" s="1">
        <v>42591</v>
      </c>
      <c r="G50">
        <v>1</v>
      </c>
      <c r="H50" t="s">
        <v>31</v>
      </c>
      <c r="I50" t="b">
        <v>0</v>
      </c>
      <c r="J50">
        <v>16195</v>
      </c>
      <c r="K50">
        <v>74</v>
      </c>
      <c r="L50">
        <v>0.13320000000000001</v>
      </c>
      <c r="M50">
        <v>1.1999999999999999E-3</v>
      </c>
      <c r="N50">
        <v>-866.81</v>
      </c>
      <c r="O50">
        <v>1.22</v>
      </c>
      <c r="P50">
        <v>-867.9</v>
      </c>
      <c r="Q50">
        <v>1.21</v>
      </c>
      <c r="R50">
        <v>19791</v>
      </c>
      <c r="S50">
        <v>19292</v>
      </c>
      <c r="T50">
        <v>95.4</v>
      </c>
      <c r="U50" t="s">
        <v>128</v>
      </c>
      <c r="V50" t="s">
        <v>129</v>
      </c>
      <c r="W50" s="1">
        <v>43437</v>
      </c>
      <c r="X50" s="1">
        <v>43437</v>
      </c>
      <c r="Y50" t="s">
        <v>29</v>
      </c>
    </row>
    <row r="51" spans="1:25" x14ac:dyDescent="0.25">
      <c r="A51" t="s">
        <v>126</v>
      </c>
      <c r="B51" t="s">
        <v>64</v>
      </c>
      <c r="C51" t="s">
        <v>130</v>
      </c>
      <c r="F51" s="1">
        <v>42591</v>
      </c>
      <c r="G51">
        <v>1</v>
      </c>
      <c r="H51" t="s">
        <v>31</v>
      </c>
      <c r="I51" t="b">
        <v>0</v>
      </c>
      <c r="J51">
        <v>23157</v>
      </c>
      <c r="K51">
        <v>84</v>
      </c>
      <c r="L51">
        <v>5.6000000000000001E-2</v>
      </c>
      <c r="M51">
        <v>5.9999999999999995E-4</v>
      </c>
      <c r="N51">
        <v>-944.02</v>
      </c>
      <c r="O51">
        <v>0.57999999999999996</v>
      </c>
      <c r="P51">
        <v>-944.48</v>
      </c>
      <c r="Q51">
        <v>0.57999999999999996</v>
      </c>
      <c r="R51">
        <v>27640</v>
      </c>
      <c r="S51">
        <v>27250</v>
      </c>
      <c r="T51">
        <v>95.4</v>
      </c>
      <c r="U51" t="s">
        <v>131</v>
      </c>
      <c r="V51" t="s">
        <v>132</v>
      </c>
      <c r="W51" s="1">
        <v>43437</v>
      </c>
      <c r="X51" s="1">
        <v>43437</v>
      </c>
      <c r="Y51" t="s">
        <v>29</v>
      </c>
    </row>
    <row r="52" spans="1:25" x14ac:dyDescent="0.25">
      <c r="A52" t="s">
        <v>126</v>
      </c>
      <c r="B52" t="s">
        <v>64</v>
      </c>
      <c r="C52" t="s">
        <v>133</v>
      </c>
      <c r="F52" s="1">
        <v>42591</v>
      </c>
      <c r="G52">
        <v>1</v>
      </c>
      <c r="H52" t="s">
        <v>31</v>
      </c>
      <c r="I52" t="b">
        <v>0</v>
      </c>
      <c r="J52">
        <v>7136</v>
      </c>
      <c r="K52">
        <v>37</v>
      </c>
      <c r="L52">
        <v>0.4113</v>
      </c>
      <c r="M52">
        <v>1.9E-3</v>
      </c>
      <c r="N52">
        <v>-588.66</v>
      </c>
      <c r="O52">
        <v>1.88</v>
      </c>
      <c r="P52">
        <v>-592.03</v>
      </c>
      <c r="Q52">
        <v>1.87</v>
      </c>
      <c r="R52">
        <v>8020</v>
      </c>
      <c r="S52">
        <v>7926</v>
      </c>
      <c r="T52">
        <v>88.3</v>
      </c>
      <c r="U52" t="s">
        <v>134</v>
      </c>
      <c r="V52" t="s">
        <v>135</v>
      </c>
      <c r="W52" s="1">
        <v>43437</v>
      </c>
      <c r="X52" s="1">
        <v>43437</v>
      </c>
      <c r="Y52" t="s">
        <v>29</v>
      </c>
    </row>
    <row r="53" spans="1:25" x14ac:dyDescent="0.25">
      <c r="A53" t="s">
        <v>126</v>
      </c>
      <c r="B53" t="s">
        <v>64</v>
      </c>
      <c r="C53" t="s">
        <v>133</v>
      </c>
      <c r="F53" s="1">
        <v>42591</v>
      </c>
      <c r="G53">
        <v>2</v>
      </c>
      <c r="H53" t="s">
        <v>31</v>
      </c>
      <c r="I53" t="b">
        <v>0</v>
      </c>
      <c r="R53">
        <v>7896</v>
      </c>
      <c r="S53">
        <v>7871</v>
      </c>
      <c r="T53">
        <v>7.1</v>
      </c>
      <c r="U53" t="s">
        <v>134</v>
      </c>
      <c r="V53" t="s">
        <v>135</v>
      </c>
      <c r="W53" s="1">
        <v>43437</v>
      </c>
      <c r="X53" s="1">
        <v>43437</v>
      </c>
      <c r="Y53" t="s">
        <v>29</v>
      </c>
    </row>
    <row r="54" spans="1:25" x14ac:dyDescent="0.25">
      <c r="A54" t="s">
        <v>139</v>
      </c>
      <c r="B54" t="s">
        <v>51</v>
      </c>
      <c r="C54" t="s">
        <v>55</v>
      </c>
      <c r="H54" t="s">
        <v>31</v>
      </c>
      <c r="J54">
        <v>24494</v>
      </c>
      <c r="K54">
        <v>127</v>
      </c>
      <c r="L54">
        <f>EXP((J54/-8033))</f>
        <v>4.7398146007110162E-2</v>
      </c>
      <c r="Y54" t="s">
        <v>141</v>
      </c>
    </row>
    <row r="55" spans="1:25" x14ac:dyDescent="0.25">
      <c r="A55" t="s">
        <v>139</v>
      </c>
      <c r="B55" t="s">
        <v>51</v>
      </c>
      <c r="C55" t="s">
        <v>55</v>
      </c>
      <c r="H55" t="s">
        <v>31</v>
      </c>
      <c r="J55">
        <v>38367</v>
      </c>
      <c r="K55">
        <v>480</v>
      </c>
      <c r="L55">
        <f t="shared" ref="L55:L59" si="0">EXP((J55/-8033))</f>
        <v>8.4281896139422711E-3</v>
      </c>
      <c r="Y55" t="s">
        <v>141</v>
      </c>
    </row>
    <row r="56" spans="1:25" x14ac:dyDescent="0.25">
      <c r="A56" t="s">
        <v>139</v>
      </c>
      <c r="B56" t="s">
        <v>51</v>
      </c>
      <c r="C56" t="s">
        <v>61</v>
      </c>
      <c r="H56" t="s">
        <v>31</v>
      </c>
      <c r="J56">
        <v>40397</v>
      </c>
      <c r="K56">
        <v>758</v>
      </c>
      <c r="L56">
        <f t="shared" si="0"/>
        <v>6.5461324693198092E-3</v>
      </c>
      <c r="Y56" t="s">
        <v>141</v>
      </c>
    </row>
    <row r="57" spans="1:25" x14ac:dyDescent="0.25">
      <c r="A57" t="s">
        <v>139</v>
      </c>
      <c r="B57" t="s">
        <v>51</v>
      </c>
      <c r="C57" t="s">
        <v>61</v>
      </c>
      <c r="H57" t="s">
        <v>31</v>
      </c>
      <c r="J57">
        <v>39318</v>
      </c>
      <c r="K57">
        <v>582</v>
      </c>
      <c r="L57">
        <f t="shared" si="0"/>
        <v>7.4872033158925174E-3</v>
      </c>
      <c r="Y57" t="s">
        <v>141</v>
      </c>
    </row>
    <row r="58" spans="1:25" x14ac:dyDescent="0.25">
      <c r="A58" t="s">
        <v>140</v>
      </c>
      <c r="B58" t="s">
        <v>51</v>
      </c>
      <c r="C58" t="s">
        <v>55</v>
      </c>
      <c r="H58" t="s">
        <v>31</v>
      </c>
      <c r="J58">
        <v>39398</v>
      </c>
      <c r="K58">
        <v>719</v>
      </c>
      <c r="L58">
        <f t="shared" si="0"/>
        <v>7.4130089223205789E-3</v>
      </c>
      <c r="Y58" t="s">
        <v>142</v>
      </c>
    </row>
    <row r="59" spans="1:25" x14ac:dyDescent="0.25">
      <c r="A59" t="s">
        <v>140</v>
      </c>
      <c r="B59" t="s">
        <v>51</v>
      </c>
      <c r="C59" t="s">
        <v>61</v>
      </c>
      <c r="H59" t="s">
        <v>31</v>
      </c>
      <c r="J59">
        <v>43603</v>
      </c>
      <c r="K59">
        <v>885</v>
      </c>
      <c r="L59">
        <f t="shared" si="0"/>
        <v>4.3919385611812219E-3</v>
      </c>
      <c r="Y5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PO14C</vt:lpstr>
      <vt:lpstr>PO14C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2020-04-03T20:24:36Z</dcterms:created>
  <dcterms:modified xsi:type="dcterms:W3CDTF">2026-04-21T07:36:24Z</dcterms:modified>
</cp:coreProperties>
</file>